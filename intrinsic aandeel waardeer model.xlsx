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nder\Documents\Data science\case 2\"/>
    </mc:Choice>
  </mc:AlternateContent>
  <xr:revisionPtr revIDLastSave="0" documentId="13_ncr:1_{7AA5A586-025A-4303-8AC6-A0340BA65D74}" xr6:coauthVersionLast="47" xr6:coauthVersionMax="47" xr10:uidLastSave="{00000000-0000-0000-0000-000000000000}"/>
  <bookViews>
    <workbookView xWindow="-120" yWindow="-120" windowWidth="51840" windowHeight="21240" activeTab="3" xr2:uid="{83D37AC6-697B-854A-9CB9-E6B167929EA7}"/>
  </bookViews>
  <sheets>
    <sheet name="Template (3)" sheetId="13" r:id="rId1"/>
    <sheet name="Template" sheetId="3" r:id="rId2"/>
    <sheet name="dividend" sheetId="11" r:id="rId3"/>
    <sheet name="earnings per share" sheetId="9" r:id="rId4"/>
    <sheet name="net income millions" sheetId="7" r:id="rId5"/>
    <sheet name="FCF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1" l="1"/>
  <c r="N6" i="11"/>
  <c r="D8" i="11"/>
  <c r="D7" i="11"/>
  <c r="H7" i="7"/>
  <c r="F7" i="7"/>
  <c r="E7" i="7"/>
  <c r="D7" i="7"/>
  <c r="D7" i="13"/>
  <c r="D17" i="14"/>
  <c r="E17" i="14" s="1"/>
  <c r="F17" i="14" s="1"/>
  <c r="G17" i="14" s="1"/>
  <c r="H17" i="14" s="1"/>
  <c r="I17" i="14" s="1"/>
  <c r="J17" i="14" s="1"/>
  <c r="K17" i="14" s="1"/>
  <c r="L17" i="14" s="1"/>
  <c r="M17" i="14" s="1"/>
  <c r="O13" i="14"/>
  <c r="O19" i="14" s="1"/>
  <c r="B13" i="14"/>
  <c r="C12" i="14"/>
  <c r="C18" i="14" s="1"/>
  <c r="D18" i="14" s="1"/>
  <c r="E11" i="14"/>
  <c r="F11" i="14" s="1"/>
  <c r="G11" i="14" s="1"/>
  <c r="H11" i="14" s="1"/>
  <c r="I11" i="14" s="1"/>
  <c r="J11" i="14" s="1"/>
  <c r="K11" i="14" s="1"/>
  <c r="L11" i="14" s="1"/>
  <c r="M11" i="14" s="1"/>
  <c r="D11" i="14"/>
  <c r="C11" i="14"/>
  <c r="C17" i="14" s="1"/>
  <c r="C7" i="14"/>
  <c r="C13" i="14" s="1"/>
  <c r="C19" i="14" s="1"/>
  <c r="D6" i="14"/>
  <c r="D7" i="14" s="1"/>
  <c r="E5" i="14"/>
  <c r="F5" i="14" s="1"/>
  <c r="G5" i="14" s="1"/>
  <c r="H5" i="14" s="1"/>
  <c r="I5" i="14" s="1"/>
  <c r="J5" i="14" s="1"/>
  <c r="K5" i="14" s="1"/>
  <c r="L5" i="14" s="1"/>
  <c r="M5" i="14" s="1"/>
  <c r="N5" i="14" s="1"/>
  <c r="N11" i="14" s="1"/>
  <c r="N17" i="14" s="1"/>
  <c r="D26" i="14"/>
  <c r="D26" i="13"/>
  <c r="N17" i="13"/>
  <c r="C17" i="13"/>
  <c r="O13" i="13"/>
  <c r="O19" i="13" s="1"/>
  <c r="B13" i="13"/>
  <c r="C12" i="13"/>
  <c r="D12" i="13" s="1"/>
  <c r="D13" i="13" s="1"/>
  <c r="N11" i="13"/>
  <c r="D11" i="13"/>
  <c r="D17" i="13" s="1"/>
  <c r="E17" i="13" s="1"/>
  <c r="F17" i="13" s="1"/>
  <c r="G17" i="13" s="1"/>
  <c r="H17" i="13" s="1"/>
  <c r="I17" i="13" s="1"/>
  <c r="J17" i="13" s="1"/>
  <c r="K17" i="13" s="1"/>
  <c r="L17" i="13" s="1"/>
  <c r="M17" i="13" s="1"/>
  <c r="C11" i="13"/>
  <c r="C7" i="13"/>
  <c r="C13" i="13" s="1"/>
  <c r="C19" i="13" s="1"/>
  <c r="D6" i="13"/>
  <c r="E5" i="13"/>
  <c r="F5" i="13" s="1"/>
  <c r="G5" i="13" s="1"/>
  <c r="H5" i="13" s="1"/>
  <c r="I5" i="13" s="1"/>
  <c r="J5" i="13" s="1"/>
  <c r="K5" i="13" s="1"/>
  <c r="L5" i="13" s="1"/>
  <c r="M5" i="13" s="1"/>
  <c r="O19" i="11"/>
  <c r="N17" i="11"/>
  <c r="D17" i="11"/>
  <c r="E17" i="11" s="1"/>
  <c r="F17" i="11" s="1"/>
  <c r="G17" i="11" s="1"/>
  <c r="H17" i="11" s="1"/>
  <c r="I17" i="11" s="1"/>
  <c r="J17" i="11" s="1"/>
  <c r="K17" i="11" s="1"/>
  <c r="L17" i="11" s="1"/>
  <c r="M17" i="11" s="1"/>
  <c r="O13" i="11"/>
  <c r="B13" i="11"/>
  <c r="C12" i="11"/>
  <c r="D12" i="11" s="1"/>
  <c r="N11" i="11"/>
  <c r="E11" i="11"/>
  <c r="F11" i="11" s="1"/>
  <c r="G11" i="11" s="1"/>
  <c r="H11" i="11" s="1"/>
  <c r="I11" i="11" s="1"/>
  <c r="J11" i="11" s="1"/>
  <c r="K11" i="11" s="1"/>
  <c r="L11" i="11" s="1"/>
  <c r="M11" i="11" s="1"/>
  <c r="D11" i="11"/>
  <c r="C11" i="11"/>
  <c r="C17" i="11" s="1"/>
  <c r="C7" i="11"/>
  <c r="C13" i="11" s="1"/>
  <c r="C19" i="11" s="1"/>
  <c r="D6" i="11"/>
  <c r="E6" i="11" s="1"/>
  <c r="E5" i="11"/>
  <c r="F5" i="11" s="1"/>
  <c r="G5" i="11" s="1"/>
  <c r="H5" i="11" s="1"/>
  <c r="I5" i="11" s="1"/>
  <c r="J5" i="11" s="1"/>
  <c r="K5" i="11" s="1"/>
  <c r="L5" i="11" s="1"/>
  <c r="M5" i="11" s="1"/>
  <c r="N17" i="9"/>
  <c r="D17" i="9"/>
  <c r="E17" i="9" s="1"/>
  <c r="F17" i="9" s="1"/>
  <c r="G17" i="9" s="1"/>
  <c r="H17" i="9" s="1"/>
  <c r="I17" i="9" s="1"/>
  <c r="J17" i="9" s="1"/>
  <c r="K17" i="9" s="1"/>
  <c r="L17" i="9" s="1"/>
  <c r="M17" i="9" s="1"/>
  <c r="O13" i="9"/>
  <c r="O19" i="9" s="1"/>
  <c r="B13" i="9"/>
  <c r="C12" i="9"/>
  <c r="C18" i="9" s="1"/>
  <c r="D18" i="9" s="1"/>
  <c r="N11" i="9"/>
  <c r="E11" i="9"/>
  <c r="F11" i="9" s="1"/>
  <c r="G11" i="9" s="1"/>
  <c r="H11" i="9" s="1"/>
  <c r="I11" i="9" s="1"/>
  <c r="J11" i="9" s="1"/>
  <c r="K11" i="9" s="1"/>
  <c r="L11" i="9" s="1"/>
  <c r="M11" i="9" s="1"/>
  <c r="D11" i="9"/>
  <c r="C11" i="9"/>
  <c r="C17" i="9" s="1"/>
  <c r="C7" i="9"/>
  <c r="C13" i="9" s="1"/>
  <c r="C19" i="9" s="1"/>
  <c r="D6" i="9"/>
  <c r="D7" i="9" s="1"/>
  <c r="F5" i="9"/>
  <c r="G5" i="9" s="1"/>
  <c r="H5" i="9" s="1"/>
  <c r="I5" i="9" s="1"/>
  <c r="J5" i="9" s="1"/>
  <c r="K5" i="9" s="1"/>
  <c r="L5" i="9" s="1"/>
  <c r="M5" i="9" s="1"/>
  <c r="E5" i="9"/>
  <c r="N17" i="7"/>
  <c r="O13" i="7"/>
  <c r="O19" i="7" s="1"/>
  <c r="B13" i="7"/>
  <c r="D12" i="7"/>
  <c r="D13" i="7" s="1"/>
  <c r="C12" i="7"/>
  <c r="C18" i="7" s="1"/>
  <c r="D18" i="7" s="1"/>
  <c r="N11" i="7"/>
  <c r="D11" i="7"/>
  <c r="D17" i="7" s="1"/>
  <c r="E17" i="7" s="1"/>
  <c r="F17" i="7" s="1"/>
  <c r="G17" i="7" s="1"/>
  <c r="H17" i="7" s="1"/>
  <c r="I17" i="7" s="1"/>
  <c r="J17" i="7" s="1"/>
  <c r="K17" i="7" s="1"/>
  <c r="L17" i="7" s="1"/>
  <c r="M17" i="7" s="1"/>
  <c r="C11" i="7"/>
  <c r="C17" i="7" s="1"/>
  <c r="C7" i="7"/>
  <c r="C13" i="7" s="1"/>
  <c r="C19" i="7" s="1"/>
  <c r="D6" i="7"/>
  <c r="E5" i="7"/>
  <c r="F5" i="7" s="1"/>
  <c r="G5" i="7" s="1"/>
  <c r="H5" i="7" s="1"/>
  <c r="I5" i="7" s="1"/>
  <c r="J5" i="7" s="1"/>
  <c r="K5" i="7" s="1"/>
  <c r="L5" i="7" s="1"/>
  <c r="M5" i="7" s="1"/>
  <c r="C18" i="13" l="1"/>
  <c r="D18" i="13" s="1"/>
  <c r="E6" i="13"/>
  <c r="E7" i="13" s="1"/>
  <c r="E18" i="14"/>
  <c r="D19" i="14"/>
  <c r="E6" i="14"/>
  <c r="D12" i="14"/>
  <c r="E18" i="13"/>
  <c r="D19" i="13"/>
  <c r="F6" i="13"/>
  <c r="E11" i="13"/>
  <c r="F11" i="13" s="1"/>
  <c r="G11" i="13" s="1"/>
  <c r="H11" i="13" s="1"/>
  <c r="I11" i="13" s="1"/>
  <c r="J11" i="13" s="1"/>
  <c r="K11" i="13" s="1"/>
  <c r="L11" i="13" s="1"/>
  <c r="M11" i="13" s="1"/>
  <c r="E12" i="13"/>
  <c r="D26" i="11"/>
  <c r="C18" i="11"/>
  <c r="D18" i="11" s="1"/>
  <c r="F6" i="11"/>
  <c r="E7" i="11"/>
  <c r="D19" i="11"/>
  <c r="E18" i="11"/>
  <c r="D13" i="11"/>
  <c r="E12" i="11"/>
  <c r="D26" i="9"/>
  <c r="E18" i="9"/>
  <c r="D19" i="9"/>
  <c r="E6" i="9"/>
  <c r="D12" i="9"/>
  <c r="E6" i="7"/>
  <c r="E18" i="7"/>
  <c r="D19" i="7"/>
  <c r="E11" i="7"/>
  <c r="F11" i="7" s="1"/>
  <c r="G11" i="7" s="1"/>
  <c r="H11" i="7" s="1"/>
  <c r="I11" i="7" s="1"/>
  <c r="J11" i="7" s="1"/>
  <c r="K11" i="7" s="1"/>
  <c r="L11" i="7" s="1"/>
  <c r="M11" i="7" s="1"/>
  <c r="E12" i="7"/>
  <c r="F6" i="14" l="1"/>
  <c r="E7" i="14"/>
  <c r="D13" i="14"/>
  <c r="E12" i="14"/>
  <c r="E19" i="14"/>
  <c r="F18" i="14"/>
  <c r="G6" i="13"/>
  <c r="F7" i="13"/>
  <c r="F18" i="13"/>
  <c r="E19" i="13"/>
  <c r="E13" i="13"/>
  <c r="F12" i="13"/>
  <c r="E13" i="11"/>
  <c r="F12" i="11"/>
  <c r="E19" i="11"/>
  <c r="F18" i="11"/>
  <c r="G6" i="11"/>
  <c r="F7" i="11"/>
  <c r="D13" i="9"/>
  <c r="E12" i="9"/>
  <c r="F6" i="9"/>
  <c r="E7" i="9"/>
  <c r="E19" i="9"/>
  <c r="F18" i="9"/>
  <c r="D26" i="7"/>
  <c r="F6" i="7"/>
  <c r="F18" i="7"/>
  <c r="E19" i="7"/>
  <c r="E13" i="7"/>
  <c r="F12" i="7"/>
  <c r="O13" i="3"/>
  <c r="O19" i="3" s="1"/>
  <c r="B13" i="3"/>
  <c r="C12" i="3"/>
  <c r="D12" i="3" s="1"/>
  <c r="N11" i="3"/>
  <c r="N17" i="3" s="1"/>
  <c r="D11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C11" i="3"/>
  <c r="C17" i="3" s="1"/>
  <c r="C7" i="3"/>
  <c r="C13" i="3" s="1"/>
  <c r="C19" i="3" s="1"/>
  <c r="D6" i="3"/>
  <c r="D7" i="3" s="1"/>
  <c r="E5" i="3"/>
  <c r="F5" i="3" s="1"/>
  <c r="G5" i="3" s="1"/>
  <c r="H5" i="3" s="1"/>
  <c r="I5" i="3" s="1"/>
  <c r="J5" i="3" s="1"/>
  <c r="K5" i="3" s="1"/>
  <c r="L5" i="3" s="1"/>
  <c r="M5" i="3" s="1"/>
  <c r="D26" i="3"/>
  <c r="E13" i="14" l="1"/>
  <c r="F12" i="14"/>
  <c r="G18" i="14"/>
  <c r="F19" i="14"/>
  <c r="G6" i="14"/>
  <c r="F7" i="14"/>
  <c r="F13" i="13"/>
  <c r="G12" i="13"/>
  <c r="F19" i="13"/>
  <c r="G18" i="13"/>
  <c r="H6" i="13"/>
  <c r="G7" i="13"/>
  <c r="G18" i="11"/>
  <c r="F19" i="11"/>
  <c r="H6" i="11"/>
  <c r="G7" i="11"/>
  <c r="F13" i="11"/>
  <c r="G12" i="11"/>
  <c r="G6" i="9"/>
  <c r="F7" i="9"/>
  <c r="E13" i="9"/>
  <c r="F12" i="9"/>
  <c r="F19" i="9"/>
  <c r="G18" i="9"/>
  <c r="G6" i="7"/>
  <c r="F13" i="7"/>
  <c r="G12" i="7"/>
  <c r="F19" i="7"/>
  <c r="G18" i="7"/>
  <c r="D13" i="3"/>
  <c r="E12" i="3"/>
  <c r="E6" i="3"/>
  <c r="C18" i="3"/>
  <c r="D18" i="3" s="1"/>
  <c r="E11" i="3"/>
  <c r="F11" i="3" s="1"/>
  <c r="G11" i="3" s="1"/>
  <c r="H11" i="3" s="1"/>
  <c r="I11" i="3" s="1"/>
  <c r="J11" i="3" s="1"/>
  <c r="K11" i="3" s="1"/>
  <c r="L11" i="3" s="1"/>
  <c r="M11" i="3" s="1"/>
  <c r="H18" i="14" l="1"/>
  <c r="G19" i="14"/>
  <c r="F13" i="14"/>
  <c r="G12" i="14"/>
  <c r="G7" i="14"/>
  <c r="H6" i="14"/>
  <c r="H18" i="13"/>
  <c r="G19" i="13"/>
  <c r="G13" i="13"/>
  <c r="H12" i="13"/>
  <c r="I6" i="13"/>
  <c r="H7" i="13"/>
  <c r="I6" i="11"/>
  <c r="H7" i="11"/>
  <c r="H18" i="11"/>
  <c r="G19" i="11"/>
  <c r="G13" i="11"/>
  <c r="H12" i="11"/>
  <c r="F13" i="9"/>
  <c r="G12" i="9"/>
  <c r="G7" i="9"/>
  <c r="H6" i="9"/>
  <c r="H18" i="9"/>
  <c r="G19" i="9"/>
  <c r="H6" i="7"/>
  <c r="G7" i="7"/>
  <c r="H12" i="7"/>
  <c r="G13" i="7"/>
  <c r="H18" i="7"/>
  <c r="G19" i="7"/>
  <c r="E18" i="3"/>
  <c r="D19" i="3"/>
  <c r="F6" i="3"/>
  <c r="E7" i="3"/>
  <c r="E13" i="3"/>
  <c r="F12" i="3"/>
  <c r="G13" i="14" l="1"/>
  <c r="H12" i="14"/>
  <c r="I18" i="14"/>
  <c r="H19" i="14"/>
  <c r="I6" i="14"/>
  <c r="H7" i="14"/>
  <c r="I18" i="13"/>
  <c r="H19" i="13"/>
  <c r="J6" i="13"/>
  <c r="I7" i="13"/>
  <c r="H13" i="13"/>
  <c r="I12" i="13"/>
  <c r="I18" i="11"/>
  <c r="H19" i="11"/>
  <c r="H13" i="11"/>
  <c r="I12" i="11"/>
  <c r="J6" i="11"/>
  <c r="I7" i="11"/>
  <c r="G13" i="9"/>
  <c r="H12" i="9"/>
  <c r="I18" i="9"/>
  <c r="H19" i="9"/>
  <c r="I6" i="9"/>
  <c r="H7" i="9"/>
  <c r="I6" i="7"/>
  <c r="I18" i="7"/>
  <c r="H19" i="7"/>
  <c r="H13" i="7"/>
  <c r="I12" i="7"/>
  <c r="F13" i="3"/>
  <c r="G12" i="3"/>
  <c r="F7" i="3"/>
  <c r="G6" i="3"/>
  <c r="F18" i="3"/>
  <c r="E19" i="3"/>
  <c r="I19" i="14" l="1"/>
  <c r="J18" i="14"/>
  <c r="H13" i="14"/>
  <c r="I12" i="14"/>
  <c r="J6" i="14"/>
  <c r="I7" i="14"/>
  <c r="I13" i="13"/>
  <c r="J12" i="13"/>
  <c r="J7" i="13"/>
  <c r="K6" i="13"/>
  <c r="J18" i="13"/>
  <c r="I19" i="13"/>
  <c r="I13" i="11"/>
  <c r="J12" i="11"/>
  <c r="K6" i="11"/>
  <c r="J7" i="11"/>
  <c r="J18" i="11"/>
  <c r="I19" i="11"/>
  <c r="I19" i="9"/>
  <c r="J18" i="9"/>
  <c r="H13" i="9"/>
  <c r="I12" i="9"/>
  <c r="J6" i="9"/>
  <c r="I7" i="9"/>
  <c r="J6" i="7"/>
  <c r="I7" i="7"/>
  <c r="I13" i="7"/>
  <c r="J12" i="7"/>
  <c r="I19" i="7"/>
  <c r="J18" i="7"/>
  <c r="H6" i="3"/>
  <c r="G7" i="3"/>
  <c r="G13" i="3"/>
  <c r="H12" i="3"/>
  <c r="F19" i="3"/>
  <c r="G18" i="3"/>
  <c r="J7" i="14" l="1"/>
  <c r="K6" i="14"/>
  <c r="I13" i="14"/>
  <c r="J12" i="14"/>
  <c r="K18" i="14"/>
  <c r="J19" i="14"/>
  <c r="J19" i="13"/>
  <c r="K18" i="13"/>
  <c r="L6" i="13"/>
  <c r="K7" i="13"/>
  <c r="J13" i="13"/>
  <c r="K12" i="13"/>
  <c r="L6" i="11"/>
  <c r="K7" i="11"/>
  <c r="J13" i="11"/>
  <c r="K12" i="11"/>
  <c r="J19" i="11"/>
  <c r="K18" i="11"/>
  <c r="I13" i="9"/>
  <c r="J12" i="9"/>
  <c r="J7" i="9"/>
  <c r="K6" i="9"/>
  <c r="K18" i="9"/>
  <c r="J19" i="9"/>
  <c r="J7" i="7"/>
  <c r="K6" i="7"/>
  <c r="J13" i="7"/>
  <c r="K12" i="7"/>
  <c r="K18" i="7"/>
  <c r="J19" i="7"/>
  <c r="H18" i="3"/>
  <c r="G19" i="3"/>
  <c r="H13" i="3"/>
  <c r="I12" i="3"/>
  <c r="H7" i="3"/>
  <c r="I6" i="3"/>
  <c r="K19" i="14" l="1"/>
  <c r="L18" i="14"/>
  <c r="J13" i="14"/>
  <c r="K12" i="14"/>
  <c r="L6" i="14"/>
  <c r="K7" i="14"/>
  <c r="K13" i="13"/>
  <c r="L12" i="13"/>
  <c r="L18" i="13"/>
  <c r="K19" i="13"/>
  <c r="N6" i="13"/>
  <c r="N7" i="13" s="1"/>
  <c r="M6" i="13"/>
  <c r="M7" i="13" s="1"/>
  <c r="L7" i="13"/>
  <c r="K19" i="11"/>
  <c r="L18" i="11"/>
  <c r="K13" i="11"/>
  <c r="L12" i="11"/>
  <c r="M6" i="11"/>
  <c r="M7" i="11" s="1"/>
  <c r="L7" i="11"/>
  <c r="K19" i="9"/>
  <c r="L18" i="9"/>
  <c r="L6" i="9"/>
  <c r="K7" i="9"/>
  <c r="J13" i="9"/>
  <c r="K12" i="9"/>
  <c r="L6" i="7"/>
  <c r="K7" i="7"/>
  <c r="L18" i="7"/>
  <c r="K19" i="7"/>
  <c r="K13" i="7"/>
  <c r="L12" i="7"/>
  <c r="I13" i="3"/>
  <c r="J12" i="3"/>
  <c r="I18" i="3"/>
  <c r="H19" i="3"/>
  <c r="I7" i="3"/>
  <c r="J6" i="3"/>
  <c r="M6" i="14" l="1"/>
  <c r="M7" i="14" s="1"/>
  <c r="L7" i="14"/>
  <c r="N6" i="14"/>
  <c r="N7" i="14" s="1"/>
  <c r="D8" i="14" s="1"/>
  <c r="E23" i="14" s="1"/>
  <c r="F23" i="14" s="1"/>
  <c r="K13" i="14"/>
  <c r="L12" i="14"/>
  <c r="N18" i="14"/>
  <c r="N19" i="14" s="1"/>
  <c r="D20" i="14" s="1"/>
  <c r="E25" i="14" s="1"/>
  <c r="F25" i="14" s="1"/>
  <c r="M18" i="14"/>
  <c r="M19" i="14" s="1"/>
  <c r="L19" i="14"/>
  <c r="N12" i="13"/>
  <c r="N13" i="13" s="1"/>
  <c r="L13" i="13"/>
  <c r="M12" i="13"/>
  <c r="M13" i="13" s="1"/>
  <c r="D8" i="13"/>
  <c r="E23" i="13" s="1"/>
  <c r="F23" i="13" s="1"/>
  <c r="L19" i="13"/>
  <c r="N18" i="13"/>
  <c r="N19" i="13" s="1"/>
  <c r="M18" i="13"/>
  <c r="M19" i="13" s="1"/>
  <c r="E23" i="11"/>
  <c r="F23" i="11" s="1"/>
  <c r="L13" i="11"/>
  <c r="M12" i="11"/>
  <c r="M13" i="11" s="1"/>
  <c r="N12" i="11"/>
  <c r="N13" i="11" s="1"/>
  <c r="D14" i="11" s="1"/>
  <c r="E24" i="11" s="1"/>
  <c r="F24" i="11" s="1"/>
  <c r="N18" i="11"/>
  <c r="N19" i="11" s="1"/>
  <c r="M18" i="11"/>
  <c r="M19" i="11" s="1"/>
  <c r="L19" i="11"/>
  <c r="K13" i="9"/>
  <c r="L12" i="9"/>
  <c r="M6" i="9"/>
  <c r="M7" i="9" s="1"/>
  <c r="L7" i="9"/>
  <c r="N6" i="9"/>
  <c r="N7" i="9" s="1"/>
  <c r="L19" i="9"/>
  <c r="N18" i="9"/>
  <c r="N19" i="9" s="1"/>
  <c r="M18" i="9"/>
  <c r="M19" i="9" s="1"/>
  <c r="M6" i="7"/>
  <c r="M7" i="7" s="1"/>
  <c r="L7" i="7"/>
  <c r="N6" i="7"/>
  <c r="N7" i="7" s="1"/>
  <c r="L13" i="7"/>
  <c r="M12" i="7"/>
  <c r="M13" i="7" s="1"/>
  <c r="N12" i="7"/>
  <c r="N13" i="7" s="1"/>
  <c r="L19" i="7"/>
  <c r="M18" i="7"/>
  <c r="M19" i="7" s="1"/>
  <c r="N18" i="7"/>
  <c r="N19" i="7" s="1"/>
  <c r="D20" i="7" s="1"/>
  <c r="E25" i="7" s="1"/>
  <c r="F25" i="7" s="1"/>
  <c r="J7" i="3"/>
  <c r="K6" i="3"/>
  <c r="J18" i="3"/>
  <c r="I19" i="3"/>
  <c r="J13" i="3"/>
  <c r="K12" i="3"/>
  <c r="D8" i="9" l="1"/>
  <c r="E23" i="9" s="1"/>
  <c r="F23" i="9" s="1"/>
  <c r="D20" i="13"/>
  <c r="E25" i="13" s="1"/>
  <c r="F25" i="13" s="1"/>
  <c r="N12" i="14"/>
  <c r="N13" i="14" s="1"/>
  <c r="L13" i="14"/>
  <c r="M12" i="14"/>
  <c r="M13" i="14" s="1"/>
  <c r="D14" i="13"/>
  <c r="E24" i="13" s="1"/>
  <c r="F24" i="13" s="1"/>
  <c r="F26" i="13" s="1"/>
  <c r="D20" i="11"/>
  <c r="E25" i="11" s="1"/>
  <c r="F25" i="11" s="1"/>
  <c r="F26" i="11" s="1"/>
  <c r="N12" i="9"/>
  <c r="N13" i="9" s="1"/>
  <c r="L13" i="9"/>
  <c r="M12" i="9"/>
  <c r="M13" i="9" s="1"/>
  <c r="D20" i="9"/>
  <c r="E25" i="9" s="1"/>
  <c r="F25" i="9" s="1"/>
  <c r="D8" i="7"/>
  <c r="E23" i="7" s="1"/>
  <c r="F23" i="7" s="1"/>
  <c r="D14" i="7"/>
  <c r="E24" i="7" s="1"/>
  <c r="F24" i="7" s="1"/>
  <c r="F26" i="7" s="1"/>
  <c r="K18" i="3"/>
  <c r="J19" i="3"/>
  <c r="L6" i="3"/>
  <c r="K7" i="3"/>
  <c r="K13" i="3"/>
  <c r="L12" i="3"/>
  <c r="D14" i="14" l="1"/>
  <c r="E24" i="14" s="1"/>
  <c r="F24" i="14" s="1"/>
  <c r="F26" i="14" s="1"/>
  <c r="D14" i="9"/>
  <c r="E24" i="9" s="1"/>
  <c r="F24" i="9" s="1"/>
  <c r="F26" i="9" s="1"/>
  <c r="N12" i="3"/>
  <c r="N13" i="3" s="1"/>
  <c r="L13" i="3"/>
  <c r="M12" i="3"/>
  <c r="M13" i="3" s="1"/>
  <c r="N6" i="3"/>
  <c r="N7" i="3" s="1"/>
  <c r="L7" i="3"/>
  <c r="M6" i="3"/>
  <c r="M7" i="3" s="1"/>
  <c r="L18" i="3"/>
  <c r="K19" i="3"/>
  <c r="D14" i="3" l="1"/>
  <c r="E24" i="3" s="1"/>
  <c r="F24" i="3" s="1"/>
  <c r="D8" i="3"/>
  <c r="E23" i="3" s="1"/>
  <c r="F23" i="3" s="1"/>
  <c r="L19" i="3"/>
  <c r="N18" i="3"/>
  <c r="N19" i="3" s="1"/>
  <c r="M18" i="3"/>
  <c r="M19" i="3" s="1"/>
  <c r="D20" i="3" l="1"/>
  <c r="E25" i="3" s="1"/>
  <c r="F25" i="3" s="1"/>
  <c r="F26" i="3" s="1"/>
</calcChain>
</file>

<file path=xl/sharedStrings.xml><?xml version="1.0" encoding="utf-8"?>
<sst xmlns="http://schemas.openxmlformats.org/spreadsheetml/2006/main" count="279" uniqueCount="41">
  <si>
    <t>input cells</t>
  </si>
  <si>
    <t>Name</t>
  </si>
  <si>
    <t>LINK TO RESEARCH</t>
  </si>
  <si>
    <t>result cells</t>
  </si>
  <si>
    <t>STOCK PRICE</t>
  </si>
  <si>
    <t>DIVIDEND PAYOUT RATIO</t>
  </si>
  <si>
    <t>Terminal 
Value</t>
  </si>
  <si>
    <t>Growth rate</t>
  </si>
  <si>
    <t>Scenario 1</t>
  </si>
  <si>
    <t>Earnings per share</t>
  </si>
  <si>
    <t>next 5 years</t>
  </si>
  <si>
    <t>5 to 10 years</t>
  </si>
  <si>
    <t>Discount rate</t>
  </si>
  <si>
    <t>INTRINSIC VALUE</t>
  </si>
  <si>
    <t>Terminal multiple</t>
  </si>
  <si>
    <t>PV(</t>
  </si>
  <si>
    <t>%)</t>
  </si>
  <si>
    <t>Scenario 2</t>
  </si>
  <si>
    <t>best case</t>
  </si>
  <si>
    <t>Present value sum</t>
  </si>
  <si>
    <t>Scenario 3</t>
  </si>
  <si>
    <t>worst case</t>
  </si>
  <si>
    <t>MARGIN OF</t>
  </si>
  <si>
    <t>SAFETY</t>
  </si>
  <si>
    <t xml:space="preserve">Scenario </t>
  </si>
  <si>
    <t>Probability</t>
  </si>
  <si>
    <t>PV</t>
  </si>
  <si>
    <t>Part</t>
  </si>
  <si>
    <t>Scenario 1 (normal case)</t>
  </si>
  <si>
    <t>Scenario 2 (best case)</t>
  </si>
  <si>
    <t>Scenario 3 (worst case)</t>
  </si>
  <si>
    <t>STOCK PRICE NOW</t>
  </si>
  <si>
    <t>Sum</t>
  </si>
  <si>
    <t>base case</t>
  </si>
  <si>
    <t>Market cap</t>
  </si>
  <si>
    <t>Net income billions</t>
  </si>
  <si>
    <t>DIVIDEND</t>
  </si>
  <si>
    <t>Charter</t>
  </si>
  <si>
    <t>Stock\</t>
  </si>
  <si>
    <t>FCF</t>
  </si>
  <si>
    <t>normal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</si>
</sst>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2"/>
    <xf numFmtId="0" fontId="2" fillId="2" borderId="0" xfId="2" applyFill="1"/>
    <xf numFmtId="0" fontId="3" fillId="0" borderId="2" xfId="2" applyFont="1" applyBorder="1"/>
    <xf numFmtId="0" fontId="4" fillId="0" borderId="3" xfId="2" applyFont="1" applyBorder="1" applyAlignment="1">
      <alignment horizontal="left" vertical="center"/>
    </xf>
    <xf numFmtId="0" fontId="2" fillId="0" borderId="3" xfId="2" applyBorder="1" applyAlignment="1">
      <alignment horizontal="left" vertical="center"/>
    </xf>
    <xf numFmtId="0" fontId="2" fillId="0" borderId="3" xfId="2" applyBorder="1"/>
    <xf numFmtId="0" fontId="2" fillId="0" borderId="4" xfId="2" applyBorder="1"/>
    <xf numFmtId="0" fontId="2" fillId="3" borderId="0" xfId="2" applyFill="1"/>
    <xf numFmtId="0" fontId="2" fillId="4" borderId="5" xfId="2" applyFill="1" applyBorder="1"/>
    <xf numFmtId="2" fontId="2" fillId="4" borderId="0" xfId="2" applyNumberFormat="1" applyFill="1"/>
    <xf numFmtId="0" fontId="2" fillId="0" borderId="0" xfId="2" applyAlignment="1">
      <alignment horizontal="right"/>
    </xf>
    <xf numFmtId="0" fontId="2" fillId="5" borderId="6" xfId="2" applyFill="1" applyBorder="1"/>
    <xf numFmtId="0" fontId="2" fillId="5" borderId="7" xfId="2" applyFill="1" applyBorder="1"/>
    <xf numFmtId="9" fontId="2" fillId="5" borderId="8" xfId="2" applyNumberFormat="1" applyFill="1" applyBorder="1" applyAlignment="1">
      <alignment horizontal="center"/>
    </xf>
    <xf numFmtId="0" fontId="2" fillId="0" borderId="9" xfId="2" applyBorder="1"/>
    <xf numFmtId="0" fontId="6" fillId="5" borderId="0" xfId="2" applyFont="1" applyFill="1" applyAlignment="1">
      <alignment horizontal="center" wrapText="1"/>
    </xf>
    <xf numFmtId="0" fontId="6" fillId="0" borderId="0" xfId="2" applyFont="1"/>
    <xf numFmtId="0" fontId="2" fillId="5" borderId="5" xfId="2" applyFill="1" applyBorder="1"/>
    <xf numFmtId="0" fontId="6" fillId="0" borderId="10" xfId="2" applyFont="1" applyBorder="1"/>
    <xf numFmtId="0" fontId="6" fillId="0" borderId="3" xfId="2" applyFont="1" applyBorder="1" applyAlignment="1">
      <alignment horizontal="center"/>
    </xf>
    <xf numFmtId="0" fontId="6" fillId="5" borderId="3" xfId="2" applyFont="1" applyFill="1" applyBorder="1" applyAlignment="1">
      <alignment horizontal="center"/>
    </xf>
    <xf numFmtId="9" fontId="0" fillId="5" borderId="1" xfId="4" applyFont="1" applyFill="1" applyBorder="1" applyAlignment="1">
      <alignment horizontal="center"/>
    </xf>
    <xf numFmtId="2" fontId="2" fillId="0" borderId="0" xfId="2" applyNumberFormat="1"/>
    <xf numFmtId="2" fontId="2" fillId="5" borderId="11" xfId="2" applyNumberFormat="1" applyFill="1" applyBorder="1"/>
    <xf numFmtId="2" fontId="2" fillId="0" borderId="0" xfId="2" applyNumberFormat="1" applyAlignment="1">
      <alignment horizontal="center"/>
    </xf>
    <xf numFmtId="2" fontId="2" fillId="5" borderId="0" xfId="2" applyNumberFormat="1" applyFill="1" applyAlignment="1">
      <alignment horizontal="center"/>
    </xf>
    <xf numFmtId="2" fontId="2" fillId="0" borderId="9" xfId="2" applyNumberFormat="1" applyBorder="1"/>
    <xf numFmtId="0" fontId="2" fillId="0" borderId="5" xfId="2" applyBorder="1"/>
    <xf numFmtId="0" fontId="2" fillId="0" borderId="11" xfId="2" applyBorder="1"/>
    <xf numFmtId="9" fontId="0" fillId="2" borderId="1" xfId="4" applyFont="1" applyFill="1" applyBorder="1" applyAlignment="1">
      <alignment horizontal="center"/>
    </xf>
    <xf numFmtId="0" fontId="2" fillId="5" borderId="9" xfId="2" applyFill="1" applyBorder="1"/>
    <xf numFmtId="2" fontId="2" fillId="0" borderId="12" xfId="2" applyNumberFormat="1" applyBorder="1"/>
    <xf numFmtId="2" fontId="2" fillId="3" borderId="13" xfId="2" applyNumberFormat="1" applyFill="1" applyBorder="1" applyAlignment="1">
      <alignment horizontal="center"/>
    </xf>
    <xf numFmtId="0" fontId="2" fillId="0" borderId="13" xfId="2" applyBorder="1" applyAlignment="1">
      <alignment horizontal="center"/>
    </xf>
    <xf numFmtId="164" fontId="2" fillId="5" borderId="1" xfId="2" applyNumberFormat="1" applyFill="1" applyBorder="1" applyAlignment="1">
      <alignment horizontal="center"/>
    </xf>
    <xf numFmtId="0" fontId="7" fillId="0" borderId="0" xfId="2" applyFont="1"/>
    <xf numFmtId="0" fontId="6" fillId="0" borderId="0" xfId="2" applyFont="1" applyAlignment="1">
      <alignment horizontal="center" wrapText="1"/>
    </xf>
    <xf numFmtId="2" fontId="2" fillId="2" borderId="11" xfId="2" applyNumberFormat="1" applyFill="1" applyBorder="1"/>
    <xf numFmtId="164" fontId="2" fillId="2" borderId="1" xfId="2" applyNumberFormat="1" applyFill="1" applyBorder="1" applyAlignment="1">
      <alignment horizontal="center"/>
    </xf>
    <xf numFmtId="0" fontId="2" fillId="0" borderId="6" xfId="2" applyBorder="1"/>
    <xf numFmtId="0" fontId="2" fillId="0" borderId="7" xfId="2" applyBorder="1"/>
    <xf numFmtId="0" fontId="2" fillId="0" borderId="8" xfId="2" applyBorder="1"/>
    <xf numFmtId="0" fontId="2" fillId="5" borderId="0" xfId="2" applyFill="1"/>
    <xf numFmtId="9" fontId="2" fillId="2" borderId="0" xfId="2" applyNumberFormat="1" applyFill="1" applyAlignment="1">
      <alignment horizontal="center"/>
    </xf>
    <xf numFmtId="2" fontId="2" fillId="0" borderId="9" xfId="2" applyNumberFormat="1" applyBorder="1" applyAlignment="1">
      <alignment horizontal="center"/>
    </xf>
    <xf numFmtId="0" fontId="2" fillId="0" borderId="14" xfId="2" applyBorder="1"/>
    <xf numFmtId="2" fontId="2" fillId="0" borderId="13" xfId="2" applyNumberFormat="1" applyBorder="1" applyAlignment="1">
      <alignment horizontal="center"/>
    </xf>
    <xf numFmtId="2" fontId="2" fillId="0" borderId="15" xfId="2" applyNumberFormat="1" applyBorder="1" applyAlignment="1">
      <alignment horizontal="center"/>
    </xf>
    <xf numFmtId="0" fontId="2" fillId="4" borderId="0" xfId="2" applyFill="1"/>
    <xf numFmtId="2" fontId="6" fillId="3" borderId="6" xfId="2" applyNumberFormat="1" applyFont="1" applyFill="1" applyBorder="1"/>
    <xf numFmtId="2" fontId="6" fillId="3" borderId="8" xfId="2" applyNumberFormat="1" applyFont="1" applyFill="1" applyBorder="1"/>
    <xf numFmtId="0" fontId="5" fillId="0" borderId="13" xfId="3" applyBorder="1"/>
    <xf numFmtId="0" fontId="2" fillId="0" borderId="13" xfId="2" applyBorder="1"/>
    <xf numFmtId="0" fontId="2" fillId="0" borderId="15" xfId="2" applyBorder="1"/>
    <xf numFmtId="0" fontId="1" fillId="0" borderId="5" xfId="1" quotePrefix="1" applyBorder="1"/>
    <xf numFmtId="9" fontId="2" fillId="5" borderId="16" xfId="2" applyNumberFormat="1" applyFill="1" applyBorder="1"/>
    <xf numFmtId="0" fontId="6" fillId="5" borderId="10" xfId="2" applyFont="1" applyFill="1" applyBorder="1"/>
    <xf numFmtId="9" fontId="2" fillId="5" borderId="0" xfId="2" applyNumberFormat="1" applyFill="1" applyAlignment="1">
      <alignment horizontal="center"/>
    </xf>
  </cellXfs>
  <cellStyles count="5">
    <cellStyle name="Hyperlink" xfId="1" builtinId="8"/>
    <cellStyle name="Hyperlink 2" xfId="3" xr:uid="{F912D73E-3D45-814F-8F30-B4F277BE4D40}"/>
    <cellStyle name="Normal 2" xfId="2" xr:uid="{63406532-0C27-6742-8DA7-4A8FC56B9ACF}"/>
    <cellStyle name="Per cent 2" xfId="4" xr:uid="{B1F9B96B-952A-8C46-BE01-CB723314F39B}"/>
    <cellStyle name="Standaard" xfId="0" builtinId="0"/>
  </cellStyles>
  <dxfs count="12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39</xdr:row>
      <xdr:rowOff>0</xdr:rowOff>
    </xdr:from>
    <xdr:ext cx="7548950" cy="197073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B03AD7A-2CA9-B644-B298-047A33160F36}"/>
            </a:ext>
          </a:extLst>
        </xdr:cNvPr>
        <xdr:cNvSpPr txBox="1"/>
      </xdr:nvSpPr>
      <xdr:spPr>
        <a:xfrm>
          <a:off x="5613400" y="7226300"/>
          <a:ext cx="7548950" cy="1970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GB" sz="4000"/>
            <a:t>Sven Carlin</a:t>
          </a:r>
        </a:p>
        <a:p>
          <a:pPr algn="ctr"/>
          <a:r>
            <a:rPr lang="en-GB" sz="4000"/>
            <a:t>Stock Market </a:t>
          </a:r>
        </a:p>
        <a:p>
          <a:pPr algn="ctr"/>
          <a:r>
            <a:rPr lang="en-GB" sz="4000"/>
            <a:t>Research Platform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0287A-C2BB-1F4B-A278-4626FBBB8961}">
  <dimension ref="B1:S30"/>
  <sheetViews>
    <sheetView showGridLines="0" zoomScale="147" zoomScaleNormal="147" workbookViewId="0">
      <selection activeCell="B4" sqref="B4:C4"/>
    </sheetView>
  </sheetViews>
  <sheetFormatPr defaultColWidth="11.5" defaultRowHeight="12.75" x14ac:dyDescent="0.2"/>
  <cols>
    <col min="1" max="1" width="4.375" style="1" customWidth="1"/>
    <col min="2" max="2" width="11.5" style="1" customWidth="1"/>
    <col min="3" max="3" width="23" style="1" customWidth="1"/>
    <col min="4" max="4" width="10.625" style="1" bestFit="1" customWidth="1"/>
    <col min="5" max="5" width="7.5" style="1" customWidth="1"/>
    <col min="6" max="6" width="9.625" style="1" customWidth="1"/>
    <col min="7" max="13" width="7" style="1" customWidth="1"/>
    <col min="14" max="14" width="10.625" style="1" bestFit="1" customWidth="1"/>
    <col min="15" max="15" width="11.5" style="1"/>
    <col min="16" max="16" width="20" style="1" customWidth="1"/>
    <col min="17" max="16384" width="11.5" style="1"/>
  </cols>
  <sheetData>
    <row r="1" spans="2:19" ht="13.5" thickBot="1" x14ac:dyDescent="0.25">
      <c r="S1" s="2" t="s">
        <v>0</v>
      </c>
    </row>
    <row r="2" spans="2:19" ht="16.5" thickBot="1" x14ac:dyDescent="0.3">
      <c r="B2" s="3" t="s">
        <v>1</v>
      </c>
      <c r="C2" s="4" t="s">
        <v>2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S2" s="8" t="s">
        <v>3</v>
      </c>
    </row>
    <row r="3" spans="2:19" ht="13.5" thickBot="1" x14ac:dyDescent="0.25">
      <c r="B3" s="9" t="s">
        <v>4</v>
      </c>
      <c r="C3" s="10"/>
      <c r="D3" s="11"/>
      <c r="F3" s="12" t="s">
        <v>5</v>
      </c>
      <c r="G3" s="13"/>
      <c r="H3" s="13"/>
      <c r="I3" s="14">
        <v>1</v>
      </c>
      <c r="P3" s="15"/>
    </row>
    <row r="4" spans="2:19" ht="27" thickBot="1" x14ac:dyDescent="0.3">
      <c r="B4" s="55"/>
      <c r="N4" s="16" t="s">
        <v>6</v>
      </c>
      <c r="O4" s="17" t="s">
        <v>7</v>
      </c>
      <c r="P4" s="15"/>
    </row>
    <row r="5" spans="2:19" ht="15.75" x14ac:dyDescent="0.25">
      <c r="B5" s="18" t="s">
        <v>8</v>
      </c>
      <c r="C5" s="19" t="s">
        <v>9</v>
      </c>
      <c r="D5" s="20">
        <v>2026</v>
      </c>
      <c r="E5" s="20">
        <f t="shared" ref="E5:M5" si="0">D5+1</f>
        <v>2027</v>
      </c>
      <c r="F5" s="20">
        <f t="shared" si="0"/>
        <v>2028</v>
      </c>
      <c r="G5" s="20">
        <f t="shared" si="0"/>
        <v>2029</v>
      </c>
      <c r="H5" s="20">
        <f t="shared" si="0"/>
        <v>2030</v>
      </c>
      <c r="I5" s="20">
        <f t="shared" si="0"/>
        <v>2031</v>
      </c>
      <c r="J5" s="20">
        <f t="shared" si="0"/>
        <v>2032</v>
      </c>
      <c r="K5" s="20">
        <f t="shared" si="0"/>
        <v>2033</v>
      </c>
      <c r="L5" s="20">
        <f t="shared" si="0"/>
        <v>2034</v>
      </c>
      <c r="M5" s="20">
        <f t="shared" si="0"/>
        <v>2035</v>
      </c>
      <c r="N5" s="21">
        <v>2035</v>
      </c>
      <c r="O5" s="22">
        <v>0</v>
      </c>
      <c r="P5" s="15" t="s">
        <v>10</v>
      </c>
      <c r="R5" s="23"/>
    </row>
    <row r="6" spans="2:19" ht="15.75" x14ac:dyDescent="0.25">
      <c r="B6" s="18" t="s">
        <v>33</v>
      </c>
      <c r="C6" s="24">
        <v>5</v>
      </c>
      <c r="D6" s="25">
        <f>C6*(1+$O$5)</f>
        <v>5</v>
      </c>
      <c r="E6" s="25">
        <f>D6*(1+$O$5)</f>
        <v>5</v>
      </c>
      <c r="F6" s="25">
        <f>E6*(1+$O$5)</f>
        <v>5</v>
      </c>
      <c r="G6" s="25">
        <f>F6*(1+$O$5)</f>
        <v>5</v>
      </c>
      <c r="H6" s="25">
        <f>G6*(1+$O$5)</f>
        <v>5</v>
      </c>
      <c r="I6" s="25">
        <f>H6*(1+$O$6)</f>
        <v>5</v>
      </c>
      <c r="J6" s="25">
        <f>I6*(1+$O$6)</f>
        <v>5</v>
      </c>
      <c r="K6" s="25">
        <f>J6*(1+$O$6)</f>
        <v>5</v>
      </c>
      <c r="L6" s="25">
        <f>K6*(1+$O$6)</f>
        <v>5</v>
      </c>
      <c r="M6" s="25">
        <f>L6*(1+$O$6)</f>
        <v>5</v>
      </c>
      <c r="N6" s="26">
        <f>L6*O8</f>
        <v>75</v>
      </c>
      <c r="O6" s="22">
        <v>0</v>
      </c>
      <c r="P6" s="27" t="s">
        <v>11</v>
      </c>
    </row>
    <row r="7" spans="2:19" ht="15.75" x14ac:dyDescent="0.25">
      <c r="B7" s="28"/>
      <c r="C7" s="29" t="str">
        <f>CONCATENATE(R8,O7*100,S8)</f>
        <v>PV(10%)</v>
      </c>
      <c r="D7" s="26">
        <f>D6*(1+$O$7)^($D$5-D5-1)*$I$3</f>
        <v>4.545454545454545</v>
      </c>
      <c r="E7" s="26">
        <f t="shared" ref="E7:M7" si="1">E6*(1+$O$7)^($D$5-E5-1)*$I$3</f>
        <v>4.1322314049586772</v>
      </c>
      <c r="F7" s="26">
        <f t="shared" si="1"/>
        <v>3.7565740045078879</v>
      </c>
      <c r="G7" s="26">
        <f t="shared" si="1"/>
        <v>3.4150672768253525</v>
      </c>
      <c r="H7" s="26">
        <f t="shared" si="1"/>
        <v>3.1046066152957748</v>
      </c>
      <c r="I7" s="26">
        <f t="shared" si="1"/>
        <v>2.822369650268886</v>
      </c>
      <c r="J7" s="26">
        <f t="shared" si="1"/>
        <v>2.5657905911535321</v>
      </c>
      <c r="K7" s="26">
        <f t="shared" si="1"/>
        <v>2.3325369010486656</v>
      </c>
      <c r="L7" s="26">
        <f t="shared" si="1"/>
        <v>2.1204880918624234</v>
      </c>
      <c r="M7" s="26">
        <f t="shared" si="1"/>
        <v>1.9277164471476573</v>
      </c>
      <c r="N7" s="26">
        <f t="shared" ref="N7" si="2">N6*(1+$O$7)^($D$5-N5-1)</f>
        <v>28.915746707214861</v>
      </c>
      <c r="O7" s="30">
        <v>0.1</v>
      </c>
      <c r="P7" s="31" t="s">
        <v>12</v>
      </c>
    </row>
    <row r="8" spans="2:19" ht="13.5" thickBot="1" x14ac:dyDescent="0.25">
      <c r="B8" s="28"/>
      <c r="C8" s="32" t="s">
        <v>13</v>
      </c>
      <c r="D8" s="33">
        <f>SUM(D7:N7)</f>
        <v>59.638582235738262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5">
        <v>15</v>
      </c>
      <c r="P8" s="31" t="s">
        <v>14</v>
      </c>
      <c r="R8" s="36" t="s">
        <v>15</v>
      </c>
      <c r="S8" s="36" t="s">
        <v>16</v>
      </c>
    </row>
    <row r="9" spans="2:19" x14ac:dyDescent="0.2">
      <c r="B9" s="28"/>
      <c r="P9" s="15"/>
    </row>
    <row r="10" spans="2:19" ht="26.25" thickBot="1" x14ac:dyDescent="0.25">
      <c r="B10" s="28"/>
      <c r="N10" s="37" t="s">
        <v>6</v>
      </c>
      <c r="O10" s="17" t="s">
        <v>7</v>
      </c>
      <c r="P10" s="15"/>
    </row>
    <row r="11" spans="2:19" ht="15.75" x14ac:dyDescent="0.25">
      <c r="B11" s="18" t="s">
        <v>17</v>
      </c>
      <c r="C11" s="19" t="str">
        <f>C5</f>
        <v>Earnings per share</v>
      </c>
      <c r="D11" s="20">
        <f>D5</f>
        <v>2026</v>
      </c>
      <c r="E11" s="20">
        <f t="shared" ref="E11:M11" si="3">D11+1</f>
        <v>2027</v>
      </c>
      <c r="F11" s="20">
        <f t="shared" si="3"/>
        <v>2028</v>
      </c>
      <c r="G11" s="20">
        <f t="shared" si="3"/>
        <v>2029</v>
      </c>
      <c r="H11" s="20">
        <f t="shared" si="3"/>
        <v>2030</v>
      </c>
      <c r="I11" s="20">
        <f t="shared" si="3"/>
        <v>2031</v>
      </c>
      <c r="J11" s="20">
        <f t="shared" si="3"/>
        <v>2032</v>
      </c>
      <c r="K11" s="20">
        <f t="shared" si="3"/>
        <v>2033</v>
      </c>
      <c r="L11" s="20">
        <f t="shared" si="3"/>
        <v>2034</v>
      </c>
      <c r="M11" s="20">
        <f t="shared" si="3"/>
        <v>2035</v>
      </c>
      <c r="N11" s="20">
        <f>N5</f>
        <v>2035</v>
      </c>
      <c r="O11" s="22">
        <v>0</v>
      </c>
      <c r="P11" s="15" t="s">
        <v>10</v>
      </c>
    </row>
    <row r="12" spans="2:19" ht="15.75" x14ac:dyDescent="0.25">
      <c r="B12" s="18" t="s">
        <v>18</v>
      </c>
      <c r="C12" s="38">
        <f>C6</f>
        <v>5</v>
      </c>
      <c r="D12" s="25">
        <f>C12*(1+$O$11)</f>
        <v>5</v>
      </c>
      <c r="E12" s="25">
        <f>D12*(1+$O$11)</f>
        <v>5</v>
      </c>
      <c r="F12" s="25">
        <f>E12*(1+$O$11)</f>
        <v>5</v>
      </c>
      <c r="G12" s="25">
        <f>F12*(1+$O$11)</f>
        <v>5</v>
      </c>
      <c r="H12" s="25">
        <f>G12*(1+$O$11)</f>
        <v>5</v>
      </c>
      <c r="I12" s="25">
        <f>H12*(1+$O$12)</f>
        <v>5</v>
      </c>
      <c r="J12" s="25">
        <f>I12*(1+$O$12)</f>
        <v>5</v>
      </c>
      <c r="K12" s="25">
        <f>J12*(1+$O$12)</f>
        <v>5</v>
      </c>
      <c r="L12" s="25">
        <f>K12*(1+$O$12)</f>
        <v>5</v>
      </c>
      <c r="M12" s="25">
        <f>L12*(1+$O$12)</f>
        <v>5</v>
      </c>
      <c r="N12" s="25">
        <f>L12*O14</f>
        <v>100</v>
      </c>
      <c r="O12" s="22">
        <v>0</v>
      </c>
      <c r="P12" s="27" t="s">
        <v>11</v>
      </c>
    </row>
    <row r="13" spans="2:19" ht="15.75" x14ac:dyDescent="0.25">
      <c r="B13" s="28">
        <f>B7</f>
        <v>0</v>
      </c>
      <c r="C13" s="29" t="str">
        <f>C7</f>
        <v>PV(10%)</v>
      </c>
      <c r="D13" s="25">
        <f>D12*(1+$O$13)^($D$11-D11-1)*$I$3</f>
        <v>4.545454545454545</v>
      </c>
      <c r="E13" s="25">
        <f t="shared" ref="E13:M13" si="4">E12*(1+$O$13)^($D$11-E11-1)*$I$3</f>
        <v>4.1322314049586772</v>
      </c>
      <c r="F13" s="25">
        <f t="shared" si="4"/>
        <v>3.7565740045078879</v>
      </c>
      <c r="G13" s="25">
        <f t="shared" si="4"/>
        <v>3.4150672768253525</v>
      </c>
      <c r="H13" s="25">
        <f t="shared" si="4"/>
        <v>3.1046066152957748</v>
      </c>
      <c r="I13" s="25">
        <f t="shared" si="4"/>
        <v>2.822369650268886</v>
      </c>
      <c r="J13" s="25">
        <f t="shared" si="4"/>
        <v>2.5657905911535321</v>
      </c>
      <c r="K13" s="25">
        <f t="shared" si="4"/>
        <v>2.3325369010486656</v>
      </c>
      <c r="L13" s="25">
        <f t="shared" si="4"/>
        <v>2.1204880918624234</v>
      </c>
      <c r="M13" s="25">
        <f t="shared" si="4"/>
        <v>1.9277164471476573</v>
      </c>
      <c r="N13" s="25">
        <f>N12*(1+$O$7)^($D$5-N11-1)</f>
        <v>38.554328942953148</v>
      </c>
      <c r="O13" s="30">
        <f>O7</f>
        <v>0.1</v>
      </c>
      <c r="P13" s="15" t="s">
        <v>12</v>
      </c>
    </row>
    <row r="14" spans="2:19" ht="13.5" thickBot="1" x14ac:dyDescent="0.25">
      <c r="B14" s="28"/>
      <c r="C14" s="32" t="s">
        <v>19</v>
      </c>
      <c r="D14" s="33">
        <f>SUM(D13:N13)</f>
        <v>69.277164471476553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9">
        <v>20</v>
      </c>
      <c r="P14" s="15" t="s">
        <v>14</v>
      </c>
    </row>
    <row r="15" spans="2:19" x14ac:dyDescent="0.2">
      <c r="B15" s="28"/>
      <c r="P15" s="15"/>
    </row>
    <row r="16" spans="2:19" ht="26.25" thickBot="1" x14ac:dyDescent="0.25">
      <c r="B16" s="28"/>
      <c r="N16" s="37" t="s">
        <v>6</v>
      </c>
      <c r="O16" s="17" t="s">
        <v>7</v>
      </c>
      <c r="P16" s="15"/>
    </row>
    <row r="17" spans="2:16" ht="15.75" x14ac:dyDescent="0.25">
      <c r="B17" s="18" t="s">
        <v>20</v>
      </c>
      <c r="C17" s="19" t="str">
        <f>C11</f>
        <v>Earnings per share</v>
      </c>
      <c r="D17" s="20">
        <f>D11</f>
        <v>2026</v>
      </c>
      <c r="E17" s="20">
        <f t="shared" ref="E17:M17" si="5">D17+1</f>
        <v>2027</v>
      </c>
      <c r="F17" s="20">
        <f t="shared" si="5"/>
        <v>2028</v>
      </c>
      <c r="G17" s="20">
        <f t="shared" si="5"/>
        <v>2029</v>
      </c>
      <c r="H17" s="20">
        <f t="shared" si="5"/>
        <v>2030</v>
      </c>
      <c r="I17" s="20">
        <f t="shared" si="5"/>
        <v>2031</v>
      </c>
      <c r="J17" s="20">
        <f t="shared" si="5"/>
        <v>2032</v>
      </c>
      <c r="K17" s="20">
        <f t="shared" si="5"/>
        <v>2033</v>
      </c>
      <c r="L17" s="20">
        <f t="shared" si="5"/>
        <v>2034</v>
      </c>
      <c r="M17" s="20">
        <f t="shared" si="5"/>
        <v>2035</v>
      </c>
      <c r="N17" s="20">
        <f>N11</f>
        <v>2035</v>
      </c>
      <c r="O17" s="22">
        <v>0</v>
      </c>
      <c r="P17" s="15" t="s">
        <v>10</v>
      </c>
    </row>
    <row r="18" spans="2:16" ht="15.75" x14ac:dyDescent="0.25">
      <c r="B18" s="18" t="s">
        <v>21</v>
      </c>
      <c r="C18" s="38">
        <f>C12</f>
        <v>5</v>
      </c>
      <c r="D18" s="25">
        <f>C18*(1+$O$17)</f>
        <v>5</v>
      </c>
      <c r="E18" s="25">
        <f>D18*(1+$O$17)</f>
        <v>5</v>
      </c>
      <c r="F18" s="25">
        <f>E18*(1+$O$17)</f>
        <v>5</v>
      </c>
      <c r="G18" s="25">
        <f>F18*(1+$O$17)</f>
        <v>5</v>
      </c>
      <c r="H18" s="25">
        <f>G18*(1+$O$17)</f>
        <v>5</v>
      </c>
      <c r="I18" s="25">
        <f>H18*(1+$O$18)</f>
        <v>5</v>
      </c>
      <c r="J18" s="25">
        <f>I18*(1+$O$18)</f>
        <v>5</v>
      </c>
      <c r="K18" s="25">
        <f>J18*(1+$O$18)</f>
        <v>5</v>
      </c>
      <c r="L18" s="25">
        <f>K18*(1+$O$18)</f>
        <v>5</v>
      </c>
      <c r="M18" s="25">
        <f>L18*(1+$O$18)</f>
        <v>5</v>
      </c>
      <c r="N18" s="25">
        <f>L18*O20</f>
        <v>50</v>
      </c>
      <c r="O18" s="22">
        <v>0</v>
      </c>
      <c r="P18" s="27" t="s">
        <v>11</v>
      </c>
    </row>
    <row r="19" spans="2:16" ht="15.75" x14ac:dyDescent="0.25">
      <c r="B19" s="18" t="s">
        <v>22</v>
      </c>
      <c r="C19" s="29" t="str">
        <f>C13</f>
        <v>PV(10%)</v>
      </c>
      <c r="D19" s="25">
        <f>D18*(1+$O$19)^($D$17-D17-1)*$I$3</f>
        <v>4.545454545454545</v>
      </c>
      <c r="E19" s="25">
        <f t="shared" ref="E19:M19" si="6">E18*(1+$O$19)^($D$17-E17-1)*$I$3</f>
        <v>4.1322314049586772</v>
      </c>
      <c r="F19" s="25">
        <f t="shared" si="6"/>
        <v>3.7565740045078879</v>
      </c>
      <c r="G19" s="25">
        <f t="shared" si="6"/>
        <v>3.4150672768253525</v>
      </c>
      <c r="H19" s="25">
        <f t="shared" si="6"/>
        <v>3.1046066152957748</v>
      </c>
      <c r="I19" s="25">
        <f t="shared" si="6"/>
        <v>2.822369650268886</v>
      </c>
      <c r="J19" s="25">
        <f t="shared" si="6"/>
        <v>2.5657905911535321</v>
      </c>
      <c r="K19" s="25">
        <f t="shared" si="6"/>
        <v>2.3325369010486656</v>
      </c>
      <c r="L19" s="25">
        <f t="shared" si="6"/>
        <v>2.1204880918624234</v>
      </c>
      <c r="M19" s="25">
        <f t="shared" si="6"/>
        <v>1.9277164471476573</v>
      </c>
      <c r="N19" s="25">
        <f t="shared" ref="N19" si="7">N18*(1+$O$19)^($D$17-N17-1)</f>
        <v>19.277164471476574</v>
      </c>
      <c r="O19" s="30">
        <f>O13</f>
        <v>0.1</v>
      </c>
      <c r="P19" s="15" t="s">
        <v>12</v>
      </c>
    </row>
    <row r="20" spans="2:16" ht="13.5" thickBot="1" x14ac:dyDescent="0.25">
      <c r="B20" s="18" t="s">
        <v>23</v>
      </c>
      <c r="C20" s="32" t="s">
        <v>19</v>
      </c>
      <c r="D20" s="33">
        <f>SUM(D19:N19)</f>
        <v>49.999999999999972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>
        <v>10</v>
      </c>
      <c r="P20" s="15" t="s">
        <v>14</v>
      </c>
    </row>
    <row r="21" spans="2:16" ht="13.5" thickBot="1" x14ac:dyDescent="0.25">
      <c r="B21" s="28"/>
      <c r="P21" s="15"/>
    </row>
    <row r="22" spans="2:16" ht="13.5" thickBot="1" x14ac:dyDescent="0.25">
      <c r="B22" s="28"/>
      <c r="C22" s="40" t="s">
        <v>24</v>
      </c>
      <c r="D22" s="41" t="s">
        <v>25</v>
      </c>
      <c r="E22" s="41" t="s">
        <v>26</v>
      </c>
      <c r="F22" s="42" t="s">
        <v>27</v>
      </c>
      <c r="G22" s="43"/>
      <c r="P22" s="15"/>
    </row>
    <row r="23" spans="2:16" x14ac:dyDescent="0.2">
      <c r="B23" s="28"/>
      <c r="C23" s="28" t="s">
        <v>28</v>
      </c>
      <c r="D23" s="44">
        <v>0.34</v>
      </c>
      <c r="E23" s="25">
        <f>D8</f>
        <v>59.638582235738262</v>
      </c>
      <c r="F23" s="45">
        <f>E23*D23</f>
        <v>20.27711796015101</v>
      </c>
      <c r="G23" s="43"/>
      <c r="P23" s="15"/>
    </row>
    <row r="24" spans="2:16" x14ac:dyDescent="0.2">
      <c r="B24" s="28"/>
      <c r="C24" s="28" t="s">
        <v>29</v>
      </c>
      <c r="D24" s="44">
        <v>0.33</v>
      </c>
      <c r="E24" s="25">
        <f>D14</f>
        <v>69.277164471476553</v>
      </c>
      <c r="F24" s="45">
        <f>E24*D24</f>
        <v>22.861464275587263</v>
      </c>
      <c r="G24" s="43"/>
      <c r="P24" s="15"/>
    </row>
    <row r="25" spans="2:16" ht="13.5" thickBot="1" x14ac:dyDescent="0.25">
      <c r="B25" s="28"/>
      <c r="C25" s="46" t="s">
        <v>30</v>
      </c>
      <c r="D25" s="44">
        <v>0.33</v>
      </c>
      <c r="E25" s="47">
        <f>D20</f>
        <v>49.999999999999972</v>
      </c>
      <c r="F25" s="48">
        <f>E25*D25</f>
        <v>16.499999999999993</v>
      </c>
      <c r="G25" s="43"/>
      <c r="P25" s="15"/>
    </row>
    <row r="26" spans="2:16" ht="13.5" thickBot="1" x14ac:dyDescent="0.25">
      <c r="B26" s="28"/>
      <c r="C26" s="49" t="s">
        <v>31</v>
      </c>
      <c r="D26" s="49">
        <f>C3</f>
        <v>0</v>
      </c>
      <c r="E26" s="50" t="s">
        <v>32</v>
      </c>
      <c r="F26" s="51">
        <f>SUM(F23:F25)</f>
        <v>59.638582235738262</v>
      </c>
      <c r="G26" s="43"/>
      <c r="P26" s="15"/>
    </row>
    <row r="27" spans="2:16" x14ac:dyDescent="0.2">
      <c r="B27" s="28"/>
      <c r="E27" s="43"/>
      <c r="F27" s="43"/>
      <c r="G27" s="43"/>
      <c r="P27" s="15"/>
    </row>
    <row r="28" spans="2:16" x14ac:dyDescent="0.2">
      <c r="B28" s="28"/>
      <c r="P28" s="15"/>
    </row>
    <row r="29" spans="2:16" x14ac:dyDescent="0.2">
      <c r="B29" s="28"/>
      <c r="P29" s="15"/>
    </row>
    <row r="30" spans="2:16" ht="13.5" thickBot="1" x14ac:dyDescent="0.25">
      <c r="B30" s="46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</sheetData>
  <conditionalFormatting sqref="D3">
    <cfRule type="containsText" dxfId="11" priority="1" operator="containsText" text="overvalued">
      <formula>NOT(ISERROR(SEARCH("overvalued",D3)))</formula>
    </cfRule>
    <cfRule type="containsText" dxfId="10" priority="2" operator="containsText" text="undervalued">
      <formula>NOT(ISERROR(SEARCH("undervalued",D3)))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DA624-F190-514B-A918-CF91FC279D11}">
  <dimension ref="B1:S30"/>
  <sheetViews>
    <sheetView showGridLines="0" zoomScale="147" zoomScaleNormal="147" workbookViewId="0">
      <selection activeCell="C4" sqref="B4:C4"/>
    </sheetView>
  </sheetViews>
  <sheetFormatPr defaultColWidth="11.5" defaultRowHeight="12.75" x14ac:dyDescent="0.2"/>
  <cols>
    <col min="1" max="1" width="4.375" style="1" customWidth="1"/>
    <col min="2" max="2" width="11.5" style="1" customWidth="1"/>
    <col min="3" max="3" width="23" style="1" customWidth="1"/>
    <col min="4" max="4" width="10.625" style="1" bestFit="1" customWidth="1"/>
    <col min="5" max="5" width="7.5" style="1" customWidth="1"/>
    <col min="6" max="6" width="9.625" style="1" customWidth="1"/>
    <col min="7" max="13" width="7" style="1" customWidth="1"/>
    <col min="14" max="14" width="10.625" style="1" bestFit="1" customWidth="1"/>
    <col min="15" max="15" width="11.5" style="1"/>
    <col min="16" max="16" width="20" style="1" customWidth="1"/>
    <col min="17" max="16384" width="11.5" style="1"/>
  </cols>
  <sheetData>
    <row r="1" spans="2:19" ht="13.5" thickBot="1" x14ac:dyDescent="0.25">
      <c r="S1" s="2" t="s">
        <v>0</v>
      </c>
    </row>
    <row r="2" spans="2:19" ht="16.5" thickBot="1" x14ac:dyDescent="0.3">
      <c r="B2" s="3" t="s">
        <v>1</v>
      </c>
      <c r="C2" s="4" t="s">
        <v>2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S2" s="8" t="s">
        <v>3</v>
      </c>
    </row>
    <row r="3" spans="2:19" ht="13.5" thickBot="1" x14ac:dyDescent="0.25">
      <c r="B3" s="9" t="s">
        <v>4</v>
      </c>
      <c r="C3" s="10"/>
      <c r="D3" s="11"/>
      <c r="F3" s="12" t="s">
        <v>5</v>
      </c>
      <c r="G3" s="13"/>
      <c r="H3" s="13"/>
      <c r="I3" s="14">
        <v>0</v>
      </c>
      <c r="P3" s="15"/>
    </row>
    <row r="4" spans="2:19" ht="27" thickBot="1" x14ac:dyDescent="0.3">
      <c r="B4" s="55"/>
      <c r="N4" s="16" t="s">
        <v>6</v>
      </c>
      <c r="O4" s="17" t="s">
        <v>7</v>
      </c>
      <c r="P4" s="15"/>
    </row>
    <row r="5" spans="2:19" ht="15.75" x14ac:dyDescent="0.25">
      <c r="B5" s="18" t="s">
        <v>8</v>
      </c>
      <c r="C5" s="19" t="s">
        <v>9</v>
      </c>
      <c r="D5" s="20">
        <v>2026</v>
      </c>
      <c r="E5" s="20">
        <f t="shared" ref="E5:M5" si="0">D5+1</f>
        <v>2027</v>
      </c>
      <c r="F5" s="20">
        <f t="shared" si="0"/>
        <v>2028</v>
      </c>
      <c r="G5" s="20">
        <f t="shared" si="0"/>
        <v>2029</v>
      </c>
      <c r="H5" s="20">
        <f t="shared" si="0"/>
        <v>2030</v>
      </c>
      <c r="I5" s="20">
        <f t="shared" si="0"/>
        <v>2031</v>
      </c>
      <c r="J5" s="20">
        <f t="shared" si="0"/>
        <v>2032</v>
      </c>
      <c r="K5" s="20">
        <f t="shared" si="0"/>
        <v>2033</v>
      </c>
      <c r="L5" s="20">
        <f t="shared" si="0"/>
        <v>2034</v>
      </c>
      <c r="M5" s="20">
        <f t="shared" si="0"/>
        <v>2035</v>
      </c>
      <c r="N5" s="21">
        <v>2035</v>
      </c>
      <c r="O5" s="22">
        <v>0</v>
      </c>
      <c r="P5" s="15" t="s">
        <v>10</v>
      </c>
      <c r="R5" s="23"/>
    </row>
    <row r="6" spans="2:19" ht="15.75" x14ac:dyDescent="0.25">
      <c r="B6" s="18" t="s">
        <v>33</v>
      </c>
      <c r="C6" s="24">
        <v>0</v>
      </c>
      <c r="D6" s="25">
        <f>C6*(1+$O$5)</f>
        <v>0</v>
      </c>
      <c r="E6" s="25">
        <f>D6*(1+$O$5)</f>
        <v>0</v>
      </c>
      <c r="F6" s="25">
        <f>E6*(1+$O$5)</f>
        <v>0</v>
      </c>
      <c r="G6" s="25">
        <f>F6*(1+$O$5)</f>
        <v>0</v>
      </c>
      <c r="H6" s="25">
        <f>G6*(1+$O$5)</f>
        <v>0</v>
      </c>
      <c r="I6" s="25">
        <f>H6*(1+$O$6)</f>
        <v>0</v>
      </c>
      <c r="J6" s="25">
        <f>I6*(1+$O$6)</f>
        <v>0</v>
      </c>
      <c r="K6" s="25">
        <f>J6*(1+$O$6)</f>
        <v>0</v>
      </c>
      <c r="L6" s="25">
        <f>K6*(1+$O$6)</f>
        <v>0</v>
      </c>
      <c r="M6" s="25">
        <f>L6*(1+$O$6)</f>
        <v>0</v>
      </c>
      <c r="N6" s="26">
        <f>L6*O8</f>
        <v>0</v>
      </c>
      <c r="O6" s="22">
        <v>0</v>
      </c>
      <c r="P6" s="27" t="s">
        <v>11</v>
      </c>
    </row>
    <row r="7" spans="2:19" ht="15.75" x14ac:dyDescent="0.25">
      <c r="B7" s="28"/>
      <c r="C7" s="29" t="str">
        <f>CONCATENATE(R8,O7*100,S8)</f>
        <v>PV(10%)</v>
      </c>
      <c r="D7" s="26">
        <f>D6*(1+$O$7)^($D$5-D5-1)*$I$3</f>
        <v>0</v>
      </c>
      <c r="E7" s="26">
        <f t="shared" ref="E7:M7" si="1">E6*(1+$O$7)^($D$5-E5-1)*$I$3</f>
        <v>0</v>
      </c>
      <c r="F7" s="26">
        <f t="shared" si="1"/>
        <v>0</v>
      </c>
      <c r="G7" s="26">
        <f t="shared" si="1"/>
        <v>0</v>
      </c>
      <c r="H7" s="26">
        <f t="shared" si="1"/>
        <v>0</v>
      </c>
      <c r="I7" s="26">
        <f t="shared" si="1"/>
        <v>0</v>
      </c>
      <c r="J7" s="26">
        <f t="shared" si="1"/>
        <v>0</v>
      </c>
      <c r="K7" s="26">
        <f t="shared" si="1"/>
        <v>0</v>
      </c>
      <c r="L7" s="26">
        <f t="shared" si="1"/>
        <v>0</v>
      </c>
      <c r="M7" s="26">
        <f t="shared" si="1"/>
        <v>0</v>
      </c>
      <c r="N7" s="26">
        <f t="shared" ref="N7" si="2">N6*(1+$O$7)^($D$5-N5-1)</f>
        <v>0</v>
      </c>
      <c r="O7" s="30">
        <v>0.1</v>
      </c>
      <c r="P7" s="31" t="s">
        <v>12</v>
      </c>
    </row>
    <row r="8" spans="2:19" ht="13.5" thickBot="1" x14ac:dyDescent="0.25">
      <c r="B8" s="28"/>
      <c r="C8" s="32" t="s">
        <v>13</v>
      </c>
      <c r="D8" s="33">
        <f>SUM(D7:N7)</f>
        <v>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5">
        <v>15</v>
      </c>
      <c r="P8" s="31" t="s">
        <v>14</v>
      </c>
      <c r="R8" s="36" t="s">
        <v>15</v>
      </c>
      <c r="S8" s="36" t="s">
        <v>16</v>
      </c>
    </row>
    <row r="9" spans="2:19" x14ac:dyDescent="0.2">
      <c r="B9" s="28"/>
      <c r="P9" s="15"/>
    </row>
    <row r="10" spans="2:19" ht="26.25" thickBot="1" x14ac:dyDescent="0.25">
      <c r="B10" s="28"/>
      <c r="N10" s="37" t="s">
        <v>6</v>
      </c>
      <c r="O10" s="17" t="s">
        <v>7</v>
      </c>
      <c r="P10" s="15"/>
    </row>
    <row r="11" spans="2:19" ht="15.75" x14ac:dyDescent="0.25">
      <c r="B11" s="18" t="s">
        <v>17</v>
      </c>
      <c r="C11" s="19" t="str">
        <f>C5</f>
        <v>Earnings per share</v>
      </c>
      <c r="D11" s="20">
        <f>D5</f>
        <v>2026</v>
      </c>
      <c r="E11" s="20">
        <f t="shared" ref="E11:M11" si="3">D11+1</f>
        <v>2027</v>
      </c>
      <c r="F11" s="20">
        <f t="shared" si="3"/>
        <v>2028</v>
      </c>
      <c r="G11" s="20">
        <f t="shared" si="3"/>
        <v>2029</v>
      </c>
      <c r="H11" s="20">
        <f t="shared" si="3"/>
        <v>2030</v>
      </c>
      <c r="I11" s="20">
        <f t="shared" si="3"/>
        <v>2031</v>
      </c>
      <c r="J11" s="20">
        <f t="shared" si="3"/>
        <v>2032</v>
      </c>
      <c r="K11" s="20">
        <f t="shared" si="3"/>
        <v>2033</v>
      </c>
      <c r="L11" s="20">
        <f t="shared" si="3"/>
        <v>2034</v>
      </c>
      <c r="M11" s="20">
        <f t="shared" si="3"/>
        <v>2035</v>
      </c>
      <c r="N11" s="20">
        <f>N5</f>
        <v>2035</v>
      </c>
      <c r="O11" s="22">
        <v>0</v>
      </c>
      <c r="P11" s="15" t="s">
        <v>10</v>
      </c>
    </row>
    <row r="12" spans="2:19" ht="15.75" x14ac:dyDescent="0.25">
      <c r="B12" s="18" t="s">
        <v>18</v>
      </c>
      <c r="C12" s="38">
        <f>C6</f>
        <v>0</v>
      </c>
      <c r="D12" s="25">
        <f>C12*(1+$O$11)</f>
        <v>0</v>
      </c>
      <c r="E12" s="25">
        <f>D12*(1+$O$11)</f>
        <v>0</v>
      </c>
      <c r="F12" s="25">
        <f>E12*(1+$O$11)</f>
        <v>0</v>
      </c>
      <c r="G12" s="25">
        <f>F12*(1+$O$11)</f>
        <v>0</v>
      </c>
      <c r="H12" s="25">
        <f>G12*(1+$O$11)</f>
        <v>0</v>
      </c>
      <c r="I12" s="25">
        <f>H12*(1+$O$12)</f>
        <v>0</v>
      </c>
      <c r="J12" s="25">
        <f>I12*(1+$O$12)</f>
        <v>0</v>
      </c>
      <c r="K12" s="25">
        <f>J12*(1+$O$12)</f>
        <v>0</v>
      </c>
      <c r="L12" s="25">
        <f>K12*(1+$O$12)</f>
        <v>0</v>
      </c>
      <c r="M12" s="25">
        <f>L12*(1+$O$12)</f>
        <v>0</v>
      </c>
      <c r="N12" s="25">
        <f>L12*O14</f>
        <v>0</v>
      </c>
      <c r="O12" s="22">
        <v>0</v>
      </c>
      <c r="P12" s="27" t="s">
        <v>11</v>
      </c>
    </row>
    <row r="13" spans="2:19" ht="15.75" x14ac:dyDescent="0.25">
      <c r="B13" s="28">
        <f>B7</f>
        <v>0</v>
      </c>
      <c r="C13" s="29" t="str">
        <f>C7</f>
        <v>PV(10%)</v>
      </c>
      <c r="D13" s="25">
        <f>D12*(1+$O$13)^($D$11-D11-1)*$I$3</f>
        <v>0</v>
      </c>
      <c r="E13" s="25">
        <f t="shared" ref="E13:M13" si="4">E12*(1+$O$13)^($D$11-E11-1)*$I$3</f>
        <v>0</v>
      </c>
      <c r="F13" s="25">
        <f t="shared" si="4"/>
        <v>0</v>
      </c>
      <c r="G13" s="25">
        <f t="shared" si="4"/>
        <v>0</v>
      </c>
      <c r="H13" s="25">
        <f t="shared" si="4"/>
        <v>0</v>
      </c>
      <c r="I13" s="25">
        <f t="shared" si="4"/>
        <v>0</v>
      </c>
      <c r="J13" s="25">
        <f t="shared" si="4"/>
        <v>0</v>
      </c>
      <c r="K13" s="25">
        <f t="shared" si="4"/>
        <v>0</v>
      </c>
      <c r="L13" s="25">
        <f t="shared" si="4"/>
        <v>0</v>
      </c>
      <c r="M13" s="25">
        <f t="shared" si="4"/>
        <v>0</v>
      </c>
      <c r="N13" s="25">
        <f>N12*(1+$O$7)^($D$5-N11-1)</f>
        <v>0</v>
      </c>
      <c r="O13" s="30">
        <f>O7</f>
        <v>0.1</v>
      </c>
      <c r="P13" s="15" t="s">
        <v>12</v>
      </c>
    </row>
    <row r="14" spans="2:19" ht="13.5" thickBot="1" x14ac:dyDescent="0.25">
      <c r="B14" s="28"/>
      <c r="C14" s="32" t="s">
        <v>19</v>
      </c>
      <c r="D14" s="33">
        <f>SUM(D13:N13)</f>
        <v>0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9">
        <v>20</v>
      </c>
      <c r="P14" s="15" t="s">
        <v>14</v>
      </c>
    </row>
    <row r="15" spans="2:19" x14ac:dyDescent="0.2">
      <c r="B15" s="28"/>
      <c r="P15" s="15"/>
    </row>
    <row r="16" spans="2:19" ht="26.25" thickBot="1" x14ac:dyDescent="0.25">
      <c r="B16" s="28"/>
      <c r="N16" s="37" t="s">
        <v>6</v>
      </c>
      <c r="O16" s="17" t="s">
        <v>7</v>
      </c>
      <c r="P16" s="15"/>
    </row>
    <row r="17" spans="2:16" ht="15.75" x14ac:dyDescent="0.25">
      <c r="B17" s="18" t="s">
        <v>20</v>
      </c>
      <c r="C17" s="19" t="str">
        <f>C11</f>
        <v>Earnings per share</v>
      </c>
      <c r="D17" s="20">
        <f>D11</f>
        <v>2026</v>
      </c>
      <c r="E17" s="20">
        <f t="shared" ref="E17:M17" si="5">D17+1</f>
        <v>2027</v>
      </c>
      <c r="F17" s="20">
        <f t="shared" si="5"/>
        <v>2028</v>
      </c>
      <c r="G17" s="20">
        <f t="shared" si="5"/>
        <v>2029</v>
      </c>
      <c r="H17" s="20">
        <f t="shared" si="5"/>
        <v>2030</v>
      </c>
      <c r="I17" s="20">
        <f t="shared" si="5"/>
        <v>2031</v>
      </c>
      <c r="J17" s="20">
        <f t="shared" si="5"/>
        <v>2032</v>
      </c>
      <c r="K17" s="20">
        <f t="shared" si="5"/>
        <v>2033</v>
      </c>
      <c r="L17" s="20">
        <f t="shared" si="5"/>
        <v>2034</v>
      </c>
      <c r="M17" s="20">
        <f t="shared" si="5"/>
        <v>2035</v>
      </c>
      <c r="N17" s="20">
        <f>N11</f>
        <v>2035</v>
      </c>
      <c r="O17" s="22">
        <v>0</v>
      </c>
      <c r="P17" s="15" t="s">
        <v>10</v>
      </c>
    </row>
    <row r="18" spans="2:16" ht="15.75" x14ac:dyDescent="0.25">
      <c r="B18" s="18" t="s">
        <v>21</v>
      </c>
      <c r="C18" s="38">
        <f>C12</f>
        <v>0</v>
      </c>
      <c r="D18" s="25">
        <f>C18*(1+$O$17)</f>
        <v>0</v>
      </c>
      <c r="E18" s="25">
        <f>D18*(1+$O$17)</f>
        <v>0</v>
      </c>
      <c r="F18" s="25">
        <f>E18*(1+$O$17)</f>
        <v>0</v>
      </c>
      <c r="G18" s="25">
        <f>F18*(1+$O$17)</f>
        <v>0</v>
      </c>
      <c r="H18" s="25">
        <f>G18*(1+$O$17)</f>
        <v>0</v>
      </c>
      <c r="I18" s="25">
        <f>H18*(1+$O$18)</f>
        <v>0</v>
      </c>
      <c r="J18" s="25">
        <f>I18*(1+$O$18)</f>
        <v>0</v>
      </c>
      <c r="K18" s="25">
        <f>J18*(1+$O$18)</f>
        <v>0</v>
      </c>
      <c r="L18" s="25">
        <f>K18*(1+$O$18)</f>
        <v>0</v>
      </c>
      <c r="M18" s="25">
        <f>L18*(1+$O$18)</f>
        <v>0</v>
      </c>
      <c r="N18" s="25">
        <f>L18*O20</f>
        <v>0</v>
      </c>
      <c r="O18" s="22">
        <v>0</v>
      </c>
      <c r="P18" s="27" t="s">
        <v>11</v>
      </c>
    </row>
    <row r="19" spans="2:16" ht="15.75" x14ac:dyDescent="0.25">
      <c r="B19" s="18" t="s">
        <v>22</v>
      </c>
      <c r="C19" s="29" t="str">
        <f>C13</f>
        <v>PV(10%)</v>
      </c>
      <c r="D19" s="25">
        <f>D18*(1+$O$19)^($D$17-D17-1)*$I$3</f>
        <v>0</v>
      </c>
      <c r="E19" s="25">
        <f t="shared" ref="E19:M19" si="6">E18*(1+$O$19)^($D$17-E17-1)*$I$3</f>
        <v>0</v>
      </c>
      <c r="F19" s="25">
        <f t="shared" si="6"/>
        <v>0</v>
      </c>
      <c r="G19" s="25">
        <f t="shared" si="6"/>
        <v>0</v>
      </c>
      <c r="H19" s="25">
        <f t="shared" si="6"/>
        <v>0</v>
      </c>
      <c r="I19" s="25">
        <f t="shared" si="6"/>
        <v>0</v>
      </c>
      <c r="J19" s="25">
        <f t="shared" si="6"/>
        <v>0</v>
      </c>
      <c r="K19" s="25">
        <f t="shared" si="6"/>
        <v>0</v>
      </c>
      <c r="L19" s="25">
        <f t="shared" si="6"/>
        <v>0</v>
      </c>
      <c r="M19" s="25">
        <f t="shared" si="6"/>
        <v>0</v>
      </c>
      <c r="N19" s="25">
        <f t="shared" ref="N19" si="7">N18*(1+$O$19)^($D$17-N17-1)</f>
        <v>0</v>
      </c>
      <c r="O19" s="30">
        <f>O13</f>
        <v>0.1</v>
      </c>
      <c r="P19" s="15" t="s">
        <v>12</v>
      </c>
    </row>
    <row r="20" spans="2:16" ht="13.5" thickBot="1" x14ac:dyDescent="0.25">
      <c r="B20" s="18" t="s">
        <v>23</v>
      </c>
      <c r="C20" s="32" t="s">
        <v>19</v>
      </c>
      <c r="D20" s="33">
        <f>SUM(D19:N19)</f>
        <v>0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>
        <v>10</v>
      </c>
      <c r="P20" s="15" t="s">
        <v>14</v>
      </c>
    </row>
    <row r="21" spans="2:16" ht="13.5" thickBot="1" x14ac:dyDescent="0.25">
      <c r="B21" s="28"/>
      <c r="P21" s="15"/>
    </row>
    <row r="22" spans="2:16" ht="13.5" thickBot="1" x14ac:dyDescent="0.25">
      <c r="B22" s="28"/>
      <c r="C22" s="40" t="s">
        <v>24</v>
      </c>
      <c r="D22" s="41" t="s">
        <v>25</v>
      </c>
      <c r="E22" s="41" t="s">
        <v>26</v>
      </c>
      <c r="F22" s="42" t="s">
        <v>27</v>
      </c>
      <c r="G22" s="43"/>
      <c r="P22" s="15"/>
    </row>
    <row r="23" spans="2:16" x14ac:dyDescent="0.2">
      <c r="B23" s="28"/>
      <c r="C23" s="28" t="s">
        <v>28</v>
      </c>
      <c r="D23" s="44">
        <v>0.34</v>
      </c>
      <c r="E23" s="25">
        <f>D8</f>
        <v>0</v>
      </c>
      <c r="F23" s="45">
        <f>E23*D23</f>
        <v>0</v>
      </c>
      <c r="G23" s="43"/>
      <c r="P23" s="15"/>
    </row>
    <row r="24" spans="2:16" x14ac:dyDescent="0.2">
      <c r="B24" s="28"/>
      <c r="C24" s="28" t="s">
        <v>29</v>
      </c>
      <c r="D24" s="44">
        <v>0.33</v>
      </c>
      <c r="E24" s="25">
        <f>D14</f>
        <v>0</v>
      </c>
      <c r="F24" s="45">
        <f>E24*D24</f>
        <v>0</v>
      </c>
      <c r="G24" s="43"/>
      <c r="P24" s="15"/>
    </row>
    <row r="25" spans="2:16" ht="13.5" thickBot="1" x14ac:dyDescent="0.25">
      <c r="B25" s="28"/>
      <c r="C25" s="46" t="s">
        <v>30</v>
      </c>
      <c r="D25" s="44">
        <v>0.33</v>
      </c>
      <c r="E25" s="47">
        <f>D20</f>
        <v>0</v>
      </c>
      <c r="F25" s="48">
        <f>E25*D25</f>
        <v>0</v>
      </c>
      <c r="G25" s="43"/>
      <c r="P25" s="15"/>
    </row>
    <row r="26" spans="2:16" ht="13.5" thickBot="1" x14ac:dyDescent="0.25">
      <c r="B26" s="28"/>
      <c r="C26" s="49" t="s">
        <v>31</v>
      </c>
      <c r="D26" s="49">
        <f>C3</f>
        <v>0</v>
      </c>
      <c r="E26" s="50" t="s">
        <v>32</v>
      </c>
      <c r="F26" s="51">
        <f>SUM(F23:F25)</f>
        <v>0</v>
      </c>
      <c r="G26" s="43"/>
      <c r="P26" s="15"/>
    </row>
    <row r="27" spans="2:16" x14ac:dyDescent="0.2">
      <c r="B27" s="28"/>
      <c r="E27" s="43"/>
      <c r="F27" s="43"/>
      <c r="G27" s="43"/>
      <c r="P27" s="15"/>
    </row>
    <row r="28" spans="2:16" x14ac:dyDescent="0.2">
      <c r="B28" s="28"/>
      <c r="P28" s="15"/>
    </row>
    <row r="29" spans="2:16" x14ac:dyDescent="0.2">
      <c r="B29" s="28"/>
      <c r="P29" s="15"/>
    </row>
    <row r="30" spans="2:16" ht="13.5" thickBot="1" x14ac:dyDescent="0.25">
      <c r="B30" s="46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</sheetData>
  <conditionalFormatting sqref="D3">
    <cfRule type="containsText" dxfId="9" priority="1" operator="containsText" text="overvalued">
      <formula>NOT(ISERROR(SEARCH("overvalued",D3)))</formula>
    </cfRule>
    <cfRule type="containsText" dxfId="8" priority="2" operator="containsText" text="undervalued">
      <formula>NOT(ISERROR(SEARCH("undervalued",D3)))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3EAD-57D7-D14C-A838-28631674DE16}">
  <dimension ref="B1:S30"/>
  <sheetViews>
    <sheetView showGridLines="0" zoomScale="147" zoomScaleNormal="147" workbookViewId="0">
      <selection activeCell="B4" sqref="B4:C4"/>
    </sheetView>
  </sheetViews>
  <sheetFormatPr defaultColWidth="11.5" defaultRowHeight="12.75" x14ac:dyDescent="0.2"/>
  <cols>
    <col min="1" max="1" width="4.375" style="1" customWidth="1"/>
    <col min="2" max="2" width="11.5" style="1" customWidth="1"/>
    <col min="3" max="3" width="23" style="1" customWidth="1"/>
    <col min="4" max="4" width="10.625" style="1" bestFit="1" customWidth="1"/>
    <col min="5" max="5" width="7.5" style="1" customWidth="1"/>
    <col min="6" max="6" width="9.625" style="1" customWidth="1"/>
    <col min="7" max="13" width="7" style="1" customWidth="1"/>
    <col min="14" max="14" width="10.625" style="1" bestFit="1" customWidth="1"/>
    <col min="15" max="15" width="11.5" style="1"/>
    <col min="16" max="16" width="20" style="1" customWidth="1"/>
    <col min="17" max="16384" width="11.5" style="1"/>
  </cols>
  <sheetData>
    <row r="1" spans="2:19" ht="13.5" thickBot="1" x14ac:dyDescent="0.25">
      <c r="S1" s="2" t="s">
        <v>0</v>
      </c>
    </row>
    <row r="2" spans="2:19" ht="16.5" thickBot="1" x14ac:dyDescent="0.3">
      <c r="B2" s="3"/>
      <c r="C2" s="4" t="s">
        <v>2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S2" s="8" t="s">
        <v>3</v>
      </c>
    </row>
    <row r="3" spans="2:19" ht="13.5" thickBot="1" x14ac:dyDescent="0.25">
      <c r="B3" s="9" t="s">
        <v>4</v>
      </c>
      <c r="C3" s="10">
        <v>157</v>
      </c>
      <c r="D3" s="11"/>
      <c r="F3" s="12" t="s">
        <v>5</v>
      </c>
      <c r="G3" s="13"/>
      <c r="H3" s="13"/>
      <c r="I3" s="14">
        <v>0.6</v>
      </c>
      <c r="P3" s="15"/>
    </row>
    <row r="4" spans="2:19" ht="27" thickBot="1" x14ac:dyDescent="0.3">
      <c r="B4" s="55"/>
      <c r="N4" s="16" t="s">
        <v>6</v>
      </c>
      <c r="O4" s="17" t="s">
        <v>7</v>
      </c>
      <c r="P4" s="15"/>
    </row>
    <row r="5" spans="2:19" ht="15.75" x14ac:dyDescent="0.25">
      <c r="B5" s="18" t="s">
        <v>8</v>
      </c>
      <c r="C5" s="19" t="s">
        <v>36</v>
      </c>
      <c r="D5" s="20">
        <v>2026</v>
      </c>
      <c r="E5" s="20">
        <f t="shared" ref="E5:M5" si="0">D5+1</f>
        <v>2027</v>
      </c>
      <c r="F5" s="20">
        <f t="shared" si="0"/>
        <v>2028</v>
      </c>
      <c r="G5" s="20">
        <f t="shared" si="0"/>
        <v>2029</v>
      </c>
      <c r="H5" s="20">
        <f t="shared" si="0"/>
        <v>2030</v>
      </c>
      <c r="I5" s="20">
        <f t="shared" si="0"/>
        <v>2031</v>
      </c>
      <c r="J5" s="20">
        <f t="shared" si="0"/>
        <v>2032</v>
      </c>
      <c r="K5" s="20">
        <f t="shared" si="0"/>
        <v>2033</v>
      </c>
      <c r="L5" s="20">
        <f t="shared" si="0"/>
        <v>2034</v>
      </c>
      <c r="M5" s="20">
        <f t="shared" si="0"/>
        <v>2035</v>
      </c>
      <c r="N5" s="21">
        <v>2035</v>
      </c>
      <c r="O5" s="22">
        <v>0.06</v>
      </c>
      <c r="P5" s="15" t="s">
        <v>10</v>
      </c>
      <c r="R5" s="23"/>
    </row>
    <row r="6" spans="2:19" ht="15.75" x14ac:dyDescent="0.25">
      <c r="B6" s="18" t="s">
        <v>33</v>
      </c>
      <c r="C6" s="24">
        <v>4.12</v>
      </c>
      <c r="D6" s="25">
        <f>C6*(1+$O$5)</f>
        <v>4.3672000000000004</v>
      </c>
      <c r="E6" s="25">
        <f>D6*(1+$O$5)</f>
        <v>4.6292320000000009</v>
      </c>
      <c r="F6" s="25">
        <f>E6*(1+$O$5)</f>
        <v>4.9069859200000012</v>
      </c>
      <c r="G6" s="25">
        <f>F6*(1+$O$5)</f>
        <v>5.2014050752000012</v>
      </c>
      <c r="H6" s="25">
        <f>G6*(1+$O$5)</f>
        <v>5.5134893797120013</v>
      </c>
      <c r="I6" s="25">
        <f>H6*(1+$O$6)</f>
        <v>5.8442987424947219</v>
      </c>
      <c r="J6" s="25">
        <f>I6*(1+$O$6)</f>
        <v>6.1949566670444058</v>
      </c>
      <c r="K6" s="25">
        <f>J6*(1+$O$6)</f>
        <v>6.5666540670670708</v>
      </c>
      <c r="L6" s="25">
        <f>K6*(1+$O$6)</f>
        <v>6.9606533110910958</v>
      </c>
      <c r="M6" s="25">
        <f>L6*(1+$O$6)</f>
        <v>7.3782925097565615</v>
      </c>
      <c r="N6" s="26">
        <f>L6*O8</f>
        <v>139.21306622182192</v>
      </c>
      <c r="O6" s="22">
        <v>0.06</v>
      </c>
      <c r="P6" s="27" t="s">
        <v>11</v>
      </c>
    </row>
    <row r="7" spans="2:19" ht="15.75" x14ac:dyDescent="0.25">
      <c r="B7" s="28"/>
      <c r="C7" s="29" t="str">
        <f>CONCATENATE(R8,O7*100,S8)</f>
        <v>PV(10%)</v>
      </c>
      <c r="D7" s="26">
        <f>D6*(1+$O$7)^($D$5-D5-1)*$I$3</f>
        <v>2.3821090909090912</v>
      </c>
      <c r="E7" s="26">
        <f t="shared" ref="E7:M7" si="1">E6*(1+$O$7)^($D$5-E5-1)*$I$3</f>
        <v>2.2954869421487603</v>
      </c>
      <c r="F7" s="26">
        <f t="shared" si="1"/>
        <v>2.212014689706987</v>
      </c>
      <c r="G7" s="26">
        <f t="shared" si="1"/>
        <v>2.1315777918994603</v>
      </c>
      <c r="H7" s="26">
        <f t="shared" si="1"/>
        <v>2.054065872194025</v>
      </c>
      <c r="I7" s="26">
        <f t="shared" si="1"/>
        <v>1.9793725677506062</v>
      </c>
      <c r="J7" s="26">
        <f t="shared" si="1"/>
        <v>1.9073953834687658</v>
      </c>
      <c r="K7" s="26">
        <f t="shared" si="1"/>
        <v>1.838035551342629</v>
      </c>
      <c r="L7" s="26">
        <f t="shared" si="1"/>
        <v>1.7711978949301701</v>
      </c>
      <c r="M7" s="26">
        <f t="shared" si="1"/>
        <v>1.7067906987508907</v>
      </c>
      <c r="N7" s="26">
        <f>N6*(1+$O$7)^($D$5-N5-1)</f>
        <v>53.672663482732418</v>
      </c>
      <c r="O7" s="30">
        <v>0.1</v>
      </c>
      <c r="P7" s="31" t="s">
        <v>12</v>
      </c>
    </row>
    <row r="8" spans="2:19" ht="13.5" thickBot="1" x14ac:dyDescent="0.25">
      <c r="B8" s="28"/>
      <c r="C8" s="32" t="s">
        <v>13</v>
      </c>
      <c r="D8" s="33">
        <f>SUM(D7:N7)</f>
        <v>73.950709965833795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5">
        <v>20</v>
      </c>
      <c r="P8" s="31" t="s">
        <v>14</v>
      </c>
      <c r="R8" s="36" t="s">
        <v>15</v>
      </c>
      <c r="S8" s="36" t="s">
        <v>16</v>
      </c>
    </row>
    <row r="9" spans="2:19" x14ac:dyDescent="0.2">
      <c r="B9" s="28"/>
      <c r="P9" s="15"/>
    </row>
    <row r="10" spans="2:19" ht="26.25" thickBot="1" x14ac:dyDescent="0.25">
      <c r="B10" s="28"/>
      <c r="N10" s="37" t="s">
        <v>6</v>
      </c>
      <c r="O10" s="17" t="s">
        <v>7</v>
      </c>
      <c r="P10" s="15"/>
    </row>
    <row r="11" spans="2:19" ht="15.75" x14ac:dyDescent="0.25">
      <c r="B11" s="18" t="s">
        <v>17</v>
      </c>
      <c r="C11" s="19" t="str">
        <f>C5</f>
        <v>DIVIDEND</v>
      </c>
      <c r="D11" s="20">
        <f>D5</f>
        <v>2026</v>
      </c>
      <c r="E11" s="20">
        <f t="shared" ref="E11:M11" si="2">D11+1</f>
        <v>2027</v>
      </c>
      <c r="F11" s="20">
        <f t="shared" si="2"/>
        <v>2028</v>
      </c>
      <c r="G11" s="20">
        <f t="shared" si="2"/>
        <v>2029</v>
      </c>
      <c r="H11" s="20">
        <f t="shared" si="2"/>
        <v>2030</v>
      </c>
      <c r="I11" s="20">
        <f t="shared" si="2"/>
        <v>2031</v>
      </c>
      <c r="J11" s="20">
        <f t="shared" si="2"/>
        <v>2032</v>
      </c>
      <c r="K11" s="20">
        <f t="shared" si="2"/>
        <v>2033</v>
      </c>
      <c r="L11" s="20">
        <f t="shared" si="2"/>
        <v>2034</v>
      </c>
      <c r="M11" s="20">
        <f t="shared" si="2"/>
        <v>2035</v>
      </c>
      <c r="N11" s="20">
        <f>N5</f>
        <v>2035</v>
      </c>
      <c r="O11" s="22">
        <v>7.0000000000000007E-2</v>
      </c>
      <c r="P11" s="15" t="s">
        <v>10</v>
      </c>
    </row>
    <row r="12" spans="2:19" ht="15.75" x14ac:dyDescent="0.25">
      <c r="B12" s="18" t="s">
        <v>18</v>
      </c>
      <c r="C12" s="38">
        <f>C6</f>
        <v>4.12</v>
      </c>
      <c r="D12" s="25">
        <f>C12*(1+$O$11)</f>
        <v>4.4084000000000003</v>
      </c>
      <c r="E12" s="25">
        <f>D12*(1+$O$11)</f>
        <v>4.7169880000000006</v>
      </c>
      <c r="F12" s="25">
        <f>E12*(1+$O$11)</f>
        <v>5.0471771600000013</v>
      </c>
      <c r="G12" s="25">
        <f>F12*(1+$O$11)</f>
        <v>5.4004795612000018</v>
      </c>
      <c r="H12" s="25">
        <f>G12*(1+$O$11)</f>
        <v>5.7785131304840025</v>
      </c>
      <c r="I12" s="25">
        <f>H12*(1+$O$12)</f>
        <v>6.1830090496178833</v>
      </c>
      <c r="J12" s="25">
        <f>I12*(1+$O$12)</f>
        <v>6.6158196830911358</v>
      </c>
      <c r="K12" s="25">
        <f>J12*(1+$O$12)</f>
        <v>7.0789270609075157</v>
      </c>
      <c r="L12" s="25">
        <f>K12*(1+$O$12)</f>
        <v>7.5744519551710425</v>
      </c>
      <c r="M12" s="25">
        <f>L12*(1+$O$12)</f>
        <v>8.1046635920330168</v>
      </c>
      <c r="N12" s="25">
        <f>L12*O14</f>
        <v>189.36129887927606</v>
      </c>
      <c r="O12" s="22">
        <v>7.0000000000000007E-2</v>
      </c>
      <c r="P12" s="27" t="s">
        <v>11</v>
      </c>
    </row>
    <row r="13" spans="2:19" ht="15.75" x14ac:dyDescent="0.25">
      <c r="B13" s="28">
        <f>B7</f>
        <v>0</v>
      </c>
      <c r="C13" s="29" t="str">
        <f>C7</f>
        <v>PV(10%)</v>
      </c>
      <c r="D13" s="25">
        <f>D12*(1+$O$13)^($D$11-D11-1)*$I$3</f>
        <v>2.4045818181818182</v>
      </c>
      <c r="E13" s="25">
        <f t="shared" ref="E13:M13" si="3">E12*(1+$O$13)^($D$11-E11-1)*$I$3</f>
        <v>2.339002314049587</v>
      </c>
      <c r="F13" s="25">
        <f t="shared" si="3"/>
        <v>2.2752113418482343</v>
      </c>
      <c r="G13" s="25">
        <f t="shared" si="3"/>
        <v>2.2131601234341916</v>
      </c>
      <c r="H13" s="25">
        <f t="shared" si="3"/>
        <v>2.1528012109768957</v>
      </c>
      <c r="I13" s="25">
        <f t="shared" si="3"/>
        <v>2.0940884506775257</v>
      </c>
      <c r="J13" s="25">
        <f t="shared" si="3"/>
        <v>2.0369769474772297</v>
      </c>
      <c r="K13" s="25">
        <f t="shared" si="3"/>
        <v>1.9814230307278506</v>
      </c>
      <c r="L13" s="25">
        <f t="shared" si="3"/>
        <v>1.9273842207989094</v>
      </c>
      <c r="M13" s="25">
        <f t="shared" si="3"/>
        <v>1.8748191965953029</v>
      </c>
      <c r="N13" s="25">
        <f>N12*(1+$O$7)^($D$5-N11-1)</f>
        <v>73.006978060564748</v>
      </c>
      <c r="O13" s="30">
        <f>O7</f>
        <v>0.1</v>
      </c>
      <c r="P13" s="15" t="s">
        <v>12</v>
      </c>
    </row>
    <row r="14" spans="2:19" ht="13.5" thickBot="1" x14ac:dyDescent="0.25">
      <c r="B14" s="28"/>
      <c r="C14" s="32" t="s">
        <v>19</v>
      </c>
      <c r="D14" s="33">
        <f>SUM(D13:N13)</f>
        <v>94.306426715332293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9">
        <v>25</v>
      </c>
      <c r="P14" s="15" t="s">
        <v>14</v>
      </c>
    </row>
    <row r="15" spans="2:19" x14ac:dyDescent="0.2">
      <c r="B15" s="28"/>
      <c r="P15" s="15"/>
    </row>
    <row r="16" spans="2:19" ht="26.25" thickBot="1" x14ac:dyDescent="0.25">
      <c r="B16" s="28"/>
      <c r="N16" s="37" t="s">
        <v>6</v>
      </c>
      <c r="O16" s="17" t="s">
        <v>7</v>
      </c>
      <c r="P16" s="15"/>
    </row>
    <row r="17" spans="2:16" ht="15.75" x14ac:dyDescent="0.25">
      <c r="B17" s="18" t="s">
        <v>20</v>
      </c>
      <c r="C17" s="19" t="str">
        <f>C11</f>
        <v>DIVIDEND</v>
      </c>
      <c r="D17" s="20">
        <f>D11</f>
        <v>2026</v>
      </c>
      <c r="E17" s="20">
        <f t="shared" ref="E17:M17" si="4">D17+1</f>
        <v>2027</v>
      </c>
      <c r="F17" s="20">
        <f t="shared" si="4"/>
        <v>2028</v>
      </c>
      <c r="G17" s="20">
        <f t="shared" si="4"/>
        <v>2029</v>
      </c>
      <c r="H17" s="20">
        <f t="shared" si="4"/>
        <v>2030</v>
      </c>
      <c r="I17" s="20">
        <f t="shared" si="4"/>
        <v>2031</v>
      </c>
      <c r="J17" s="20">
        <f t="shared" si="4"/>
        <v>2032</v>
      </c>
      <c r="K17" s="20">
        <f t="shared" si="4"/>
        <v>2033</v>
      </c>
      <c r="L17" s="20">
        <f t="shared" si="4"/>
        <v>2034</v>
      </c>
      <c r="M17" s="20">
        <f t="shared" si="4"/>
        <v>2035</v>
      </c>
      <c r="N17" s="20">
        <f>N11</f>
        <v>2035</v>
      </c>
      <c r="O17" s="22">
        <v>0.02</v>
      </c>
      <c r="P17" s="15" t="s">
        <v>10</v>
      </c>
    </row>
    <row r="18" spans="2:16" ht="15.75" x14ac:dyDescent="0.25">
      <c r="B18" s="18" t="s">
        <v>21</v>
      </c>
      <c r="C18" s="38">
        <f>C12</f>
        <v>4.12</v>
      </c>
      <c r="D18" s="25">
        <f>C18*(1+$O$17)</f>
        <v>4.2023999999999999</v>
      </c>
      <c r="E18" s="25">
        <f>D18*(1+$O$17)</f>
        <v>4.286448</v>
      </c>
      <c r="F18" s="25">
        <f>E18*(1+$O$17)</f>
        <v>4.37217696</v>
      </c>
      <c r="G18" s="25">
        <f>F18*(1+$O$17)</f>
        <v>4.4596204991999997</v>
      </c>
      <c r="H18" s="25">
        <f>G18*(1+$O$17)</f>
        <v>4.5488129091839999</v>
      </c>
      <c r="I18" s="25">
        <f>H18*(1+$O$18)</f>
        <v>4.6397891673676801</v>
      </c>
      <c r="J18" s="25">
        <f>I18*(1+$O$18)</f>
        <v>4.7325849507150339</v>
      </c>
      <c r="K18" s="25">
        <f>J18*(1+$O$18)</f>
        <v>4.8272366497293344</v>
      </c>
      <c r="L18" s="25">
        <f>K18*(1+$O$18)</f>
        <v>4.923781382723921</v>
      </c>
      <c r="M18" s="25">
        <f>L18*(1+$O$18)</f>
        <v>5.0222570103783992</v>
      </c>
      <c r="N18" s="25">
        <f>L18*O20</f>
        <v>73.856720740858819</v>
      </c>
      <c r="O18" s="22">
        <v>0.02</v>
      </c>
      <c r="P18" s="27" t="s">
        <v>11</v>
      </c>
    </row>
    <row r="19" spans="2:16" ht="15.75" x14ac:dyDescent="0.25">
      <c r="B19" s="18" t="s">
        <v>22</v>
      </c>
      <c r="C19" s="29" t="str">
        <f>C13</f>
        <v>PV(10%)</v>
      </c>
      <c r="D19" s="25">
        <f>D18*(1+$O$19)^($D$17-D17-1)*$I$3</f>
        <v>2.2922181818181815</v>
      </c>
      <c r="E19" s="25">
        <f t="shared" ref="E19:M19" si="5">E18*(1+$O$19)^($D$17-E17-1)*$I$3</f>
        <v>2.1255114049586772</v>
      </c>
      <c r="F19" s="25">
        <f t="shared" si="5"/>
        <v>1.9709287573253185</v>
      </c>
      <c r="G19" s="25">
        <f t="shared" si="5"/>
        <v>1.8275884840652954</v>
      </c>
      <c r="H19" s="25">
        <f t="shared" si="5"/>
        <v>1.6946729579514554</v>
      </c>
      <c r="I19" s="25">
        <f t="shared" si="5"/>
        <v>1.5714240155549863</v>
      </c>
      <c r="J19" s="25">
        <f t="shared" si="5"/>
        <v>1.4571386326055324</v>
      </c>
      <c r="K19" s="25">
        <f t="shared" si="5"/>
        <v>1.3511649138705846</v>
      </c>
      <c r="L19" s="25">
        <f t="shared" si="5"/>
        <v>1.2528983746799964</v>
      </c>
      <c r="M19" s="25">
        <f t="shared" si="5"/>
        <v>1.1617784928850876</v>
      </c>
      <c r="N19" s="25">
        <f t="shared" ref="N19" si="6">N18*(1+$O$19)^($D$17-N17-1)</f>
        <v>28.474963060909012</v>
      </c>
      <c r="O19" s="30">
        <f>O13</f>
        <v>0.1</v>
      </c>
      <c r="P19" s="15" t="s">
        <v>12</v>
      </c>
    </row>
    <row r="20" spans="2:16" ht="13.5" thickBot="1" x14ac:dyDescent="0.25">
      <c r="B20" s="18" t="s">
        <v>23</v>
      </c>
      <c r="C20" s="32" t="s">
        <v>19</v>
      </c>
      <c r="D20" s="33">
        <f>SUM(D19:N19)</f>
        <v>45.180287276624128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>
        <v>15</v>
      </c>
      <c r="P20" s="15" t="s">
        <v>14</v>
      </c>
    </row>
    <row r="21" spans="2:16" ht="13.5" thickBot="1" x14ac:dyDescent="0.25">
      <c r="B21" s="28"/>
      <c r="P21" s="15"/>
    </row>
    <row r="22" spans="2:16" ht="13.5" thickBot="1" x14ac:dyDescent="0.25">
      <c r="B22" s="28"/>
      <c r="C22" s="40" t="s">
        <v>24</v>
      </c>
      <c r="D22" s="41" t="s">
        <v>25</v>
      </c>
      <c r="E22" s="41" t="s">
        <v>26</v>
      </c>
      <c r="F22" s="42" t="s">
        <v>27</v>
      </c>
      <c r="G22" s="43"/>
      <c r="P22" s="15"/>
    </row>
    <row r="23" spans="2:16" x14ac:dyDescent="0.2">
      <c r="B23" s="28"/>
      <c r="C23" s="28" t="s">
        <v>28</v>
      </c>
      <c r="D23" s="44">
        <v>0.34</v>
      </c>
      <c r="E23" s="25">
        <f>D8</f>
        <v>73.950709965833795</v>
      </c>
      <c r="F23" s="45">
        <f>E23*D23</f>
        <v>25.14324138838349</v>
      </c>
      <c r="G23" s="43"/>
      <c r="P23" s="15"/>
    </row>
    <row r="24" spans="2:16" x14ac:dyDescent="0.2">
      <c r="B24" s="28"/>
      <c r="C24" s="28" t="s">
        <v>29</v>
      </c>
      <c r="D24" s="44">
        <v>0.33</v>
      </c>
      <c r="E24" s="25">
        <f>D14</f>
        <v>94.306426715332293</v>
      </c>
      <c r="F24" s="45">
        <f>E24*D24</f>
        <v>31.121120816059658</v>
      </c>
      <c r="G24" s="43"/>
      <c r="P24" s="15"/>
    </row>
    <row r="25" spans="2:16" ht="13.5" thickBot="1" x14ac:dyDescent="0.25">
      <c r="B25" s="28"/>
      <c r="C25" s="46" t="s">
        <v>30</v>
      </c>
      <c r="D25" s="44">
        <v>0.33</v>
      </c>
      <c r="E25" s="47">
        <f>D20</f>
        <v>45.180287276624128</v>
      </c>
      <c r="F25" s="48">
        <f>E25*D25</f>
        <v>14.909494801285962</v>
      </c>
      <c r="G25" s="43"/>
      <c r="P25" s="15"/>
    </row>
    <row r="26" spans="2:16" ht="13.5" thickBot="1" x14ac:dyDescent="0.25">
      <c r="B26" s="28"/>
      <c r="C26" s="49" t="s">
        <v>31</v>
      </c>
      <c r="D26" s="49">
        <f>C3</f>
        <v>157</v>
      </c>
      <c r="E26" s="50" t="s">
        <v>32</v>
      </c>
      <c r="F26" s="51">
        <f>SUM(F23:F25)</f>
        <v>71.173857005729104</v>
      </c>
      <c r="G26" s="43"/>
      <c r="P26" s="15"/>
    </row>
    <row r="27" spans="2:16" x14ac:dyDescent="0.2">
      <c r="B27" s="28"/>
      <c r="E27" s="43"/>
      <c r="F27" s="43"/>
      <c r="G27" s="43"/>
      <c r="P27" s="15"/>
    </row>
    <row r="28" spans="2:16" x14ac:dyDescent="0.2">
      <c r="B28" s="28"/>
      <c r="P28" s="15"/>
    </row>
    <row r="29" spans="2:16" x14ac:dyDescent="0.2">
      <c r="B29" s="28"/>
      <c r="P29" s="15"/>
    </row>
    <row r="30" spans="2:16" ht="13.5" thickBot="1" x14ac:dyDescent="0.25">
      <c r="B30" s="46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</sheetData>
  <conditionalFormatting sqref="D3">
    <cfRule type="containsText" dxfId="7" priority="1" operator="containsText" text="overvalued">
      <formula>NOT(ISERROR(SEARCH("overvalued",D3)))</formula>
    </cfRule>
    <cfRule type="containsText" dxfId="6" priority="2" operator="containsText" text="undervalued">
      <formula>NOT(ISERROR(SEARCH("undervalued",D3)))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71108-DFEC-4047-A77F-6047F9FE46A1}">
  <dimension ref="B1:S30"/>
  <sheetViews>
    <sheetView showGridLines="0" tabSelected="1" zoomScale="147" zoomScaleNormal="147" workbookViewId="0">
      <selection activeCell="B4" sqref="B4:C4"/>
    </sheetView>
  </sheetViews>
  <sheetFormatPr defaultColWidth="11.5" defaultRowHeight="12.75" x14ac:dyDescent="0.2"/>
  <cols>
    <col min="1" max="1" width="4.375" style="1" customWidth="1"/>
    <col min="2" max="2" width="11.5" style="1" customWidth="1"/>
    <col min="3" max="3" width="23" style="1" customWidth="1"/>
    <col min="4" max="4" width="10.625" style="1" bestFit="1" customWidth="1"/>
    <col min="5" max="5" width="7.5" style="1" customWidth="1"/>
    <col min="6" max="6" width="9.625" style="1" customWidth="1"/>
    <col min="7" max="13" width="7" style="1" customWidth="1"/>
    <col min="14" max="14" width="10.625" style="1" bestFit="1" customWidth="1"/>
    <col min="15" max="15" width="11.5" style="1"/>
    <col min="16" max="16" width="20" style="1" customWidth="1"/>
    <col min="17" max="16384" width="11.5" style="1"/>
  </cols>
  <sheetData>
    <row r="1" spans="2:19" ht="13.5" thickBot="1" x14ac:dyDescent="0.25">
      <c r="S1" s="2" t="s">
        <v>0</v>
      </c>
    </row>
    <row r="2" spans="2:19" ht="16.5" thickBot="1" x14ac:dyDescent="0.3">
      <c r="B2" s="3"/>
      <c r="C2" s="4" t="s">
        <v>2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S2" s="8" t="s">
        <v>3</v>
      </c>
    </row>
    <row r="3" spans="2:19" ht="13.5" thickBot="1" x14ac:dyDescent="0.25">
      <c r="B3" s="9" t="s">
        <v>4</v>
      </c>
      <c r="C3" s="10"/>
      <c r="D3" s="11"/>
      <c r="F3" s="12" t="s">
        <v>5</v>
      </c>
      <c r="G3" s="13"/>
      <c r="H3" s="13"/>
      <c r="I3" s="14">
        <v>0</v>
      </c>
      <c r="P3" s="15"/>
    </row>
    <row r="4" spans="2:19" ht="27" thickBot="1" x14ac:dyDescent="0.3">
      <c r="B4" s="55"/>
      <c r="N4" s="16" t="s">
        <v>6</v>
      </c>
      <c r="O4" s="17" t="s">
        <v>7</v>
      </c>
      <c r="P4" s="15"/>
    </row>
    <row r="5" spans="2:19" ht="15.75" x14ac:dyDescent="0.25">
      <c r="B5" s="18" t="s">
        <v>8</v>
      </c>
      <c r="C5" s="19" t="s">
        <v>9</v>
      </c>
      <c r="D5" s="20">
        <v>2026</v>
      </c>
      <c r="E5" s="20">
        <f t="shared" ref="E5:M5" si="0">D5+1</f>
        <v>2027</v>
      </c>
      <c r="F5" s="20">
        <f t="shared" si="0"/>
        <v>2028</v>
      </c>
      <c r="G5" s="20">
        <f t="shared" si="0"/>
        <v>2029</v>
      </c>
      <c r="H5" s="20">
        <f t="shared" si="0"/>
        <v>2030</v>
      </c>
      <c r="I5" s="20">
        <f t="shared" si="0"/>
        <v>2031</v>
      </c>
      <c r="J5" s="20">
        <f t="shared" si="0"/>
        <v>2032</v>
      </c>
      <c r="K5" s="20">
        <f t="shared" si="0"/>
        <v>2033</v>
      </c>
      <c r="L5" s="20">
        <f t="shared" si="0"/>
        <v>2034</v>
      </c>
      <c r="M5" s="20">
        <f t="shared" si="0"/>
        <v>2035</v>
      </c>
      <c r="N5" s="21">
        <v>2035</v>
      </c>
      <c r="O5" s="22">
        <v>7.0000000000000007E-2</v>
      </c>
      <c r="P5" s="15" t="s">
        <v>10</v>
      </c>
      <c r="R5" s="23"/>
    </row>
    <row r="6" spans="2:19" ht="15.75" x14ac:dyDescent="0.25">
      <c r="B6" s="18" t="s">
        <v>33</v>
      </c>
      <c r="C6" s="24">
        <v>3</v>
      </c>
      <c r="D6" s="25">
        <f>C6*(1+$O$5)</f>
        <v>3.21</v>
      </c>
      <c r="E6" s="25">
        <f>D6*(1+$O$5)</f>
        <v>3.4347000000000003</v>
      </c>
      <c r="F6" s="25">
        <f>E6*(1+$O$5)</f>
        <v>3.6751290000000005</v>
      </c>
      <c r="G6" s="25">
        <f>F6*(1+$O$5)</f>
        <v>3.9323880300000007</v>
      </c>
      <c r="H6" s="25">
        <f>G6*(1+$O$5)</f>
        <v>4.2076551921000007</v>
      </c>
      <c r="I6" s="25">
        <f>H6*(1+$O$6)</f>
        <v>4.5021910555470006</v>
      </c>
      <c r="J6" s="25">
        <f>I6*(1+$O$6)</f>
        <v>4.8173444294352912</v>
      </c>
      <c r="K6" s="25">
        <f>J6*(1+$O$6)</f>
        <v>5.1545585394957616</v>
      </c>
      <c r="L6" s="25">
        <f>K6*(1+$O$6)</f>
        <v>5.5153776372604648</v>
      </c>
      <c r="M6" s="25">
        <f>L6*(1+$O$6)</f>
        <v>5.9014540718686979</v>
      </c>
      <c r="N6" s="26">
        <f>L6*O8</f>
        <v>55.153776372604646</v>
      </c>
      <c r="O6" s="22">
        <v>7.0000000000000007E-2</v>
      </c>
      <c r="P6" s="27" t="s">
        <v>11</v>
      </c>
    </row>
    <row r="7" spans="2:19" ht="15.75" x14ac:dyDescent="0.25">
      <c r="B7" s="28"/>
      <c r="C7" s="29" t="str">
        <f>CONCATENATE(R8,O7*100,S8)</f>
        <v>PV(10%)</v>
      </c>
      <c r="D7" s="26">
        <f>D6*(1+$O$7)^($D$5-D5-1)*$I$3</f>
        <v>0</v>
      </c>
      <c r="E7" s="26">
        <f t="shared" ref="E7:M7" si="1">E6*(1+$O$7)^($D$5-E5-1)*$I$3</f>
        <v>0</v>
      </c>
      <c r="F7" s="26">
        <f t="shared" si="1"/>
        <v>0</v>
      </c>
      <c r="G7" s="26">
        <f t="shared" si="1"/>
        <v>0</v>
      </c>
      <c r="H7" s="26">
        <f t="shared" si="1"/>
        <v>0</v>
      </c>
      <c r="I7" s="26">
        <f t="shared" si="1"/>
        <v>0</v>
      </c>
      <c r="J7" s="26">
        <f t="shared" si="1"/>
        <v>0</v>
      </c>
      <c r="K7" s="26">
        <f t="shared" si="1"/>
        <v>0</v>
      </c>
      <c r="L7" s="26">
        <f t="shared" si="1"/>
        <v>0</v>
      </c>
      <c r="M7" s="26">
        <f t="shared" si="1"/>
        <v>0</v>
      </c>
      <c r="N7" s="26">
        <f t="shared" ref="N7" si="2">N6*(1+$O$7)^($D$5-N5-1)</f>
        <v>21.264168367154767</v>
      </c>
      <c r="O7" s="30">
        <v>0.1</v>
      </c>
      <c r="P7" s="31" t="s">
        <v>12</v>
      </c>
    </row>
    <row r="8" spans="2:19" ht="13.5" thickBot="1" x14ac:dyDescent="0.25">
      <c r="B8" s="28"/>
      <c r="C8" s="32" t="s">
        <v>13</v>
      </c>
      <c r="D8" s="33">
        <f>SUM(D7:N7)</f>
        <v>21.264168367154767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5">
        <v>10</v>
      </c>
      <c r="P8" s="31" t="s">
        <v>14</v>
      </c>
      <c r="R8" s="36" t="s">
        <v>15</v>
      </c>
      <c r="S8" s="36" t="s">
        <v>16</v>
      </c>
    </row>
    <row r="9" spans="2:19" x14ac:dyDescent="0.2">
      <c r="B9" s="28"/>
      <c r="P9" s="15"/>
    </row>
    <row r="10" spans="2:19" ht="26.25" thickBot="1" x14ac:dyDescent="0.25">
      <c r="B10" s="28"/>
      <c r="N10" s="37" t="s">
        <v>6</v>
      </c>
      <c r="O10" s="17" t="s">
        <v>7</v>
      </c>
      <c r="P10" s="15"/>
    </row>
    <row r="11" spans="2:19" ht="15.75" x14ac:dyDescent="0.25">
      <c r="B11" s="18" t="s">
        <v>17</v>
      </c>
      <c r="C11" s="19" t="str">
        <f>C5</f>
        <v>Earnings per share</v>
      </c>
      <c r="D11" s="20">
        <f>D5</f>
        <v>2026</v>
      </c>
      <c r="E11" s="20">
        <f t="shared" ref="E11:M11" si="3">D11+1</f>
        <v>2027</v>
      </c>
      <c r="F11" s="20">
        <f t="shared" si="3"/>
        <v>2028</v>
      </c>
      <c r="G11" s="20">
        <f t="shared" si="3"/>
        <v>2029</v>
      </c>
      <c r="H11" s="20">
        <f t="shared" si="3"/>
        <v>2030</v>
      </c>
      <c r="I11" s="20">
        <f t="shared" si="3"/>
        <v>2031</v>
      </c>
      <c r="J11" s="20">
        <f t="shared" si="3"/>
        <v>2032</v>
      </c>
      <c r="K11" s="20">
        <f t="shared" si="3"/>
        <v>2033</v>
      </c>
      <c r="L11" s="20">
        <f t="shared" si="3"/>
        <v>2034</v>
      </c>
      <c r="M11" s="20">
        <f t="shared" si="3"/>
        <v>2035</v>
      </c>
      <c r="N11" s="20">
        <f>N5</f>
        <v>2035</v>
      </c>
      <c r="O11" s="22">
        <v>0.15</v>
      </c>
      <c r="P11" s="15" t="s">
        <v>10</v>
      </c>
    </row>
    <row r="12" spans="2:19" ht="15.75" x14ac:dyDescent="0.25">
      <c r="B12" s="18" t="s">
        <v>18</v>
      </c>
      <c r="C12" s="38">
        <f>C6</f>
        <v>3</v>
      </c>
      <c r="D12" s="25">
        <f>C12*(1+$O$11)</f>
        <v>3.4499999999999997</v>
      </c>
      <c r="E12" s="25">
        <f>D12*(1+$O$11)</f>
        <v>3.9674999999999994</v>
      </c>
      <c r="F12" s="25">
        <f>E12*(1+$O$11)</f>
        <v>4.5626249999999988</v>
      </c>
      <c r="G12" s="25">
        <f>F12*(1+$O$11)</f>
        <v>5.2470187499999978</v>
      </c>
      <c r="H12" s="25">
        <f>G12*(1+$O$11)</f>
        <v>6.0340715624999968</v>
      </c>
      <c r="I12" s="25">
        <f>H12*(1+$O$12)</f>
        <v>6.9391822968749954</v>
      </c>
      <c r="J12" s="25">
        <f>I12*(1+$O$12)</f>
        <v>7.9800596414062444</v>
      </c>
      <c r="K12" s="25">
        <f>J12*(1+$O$12)</f>
        <v>9.17706858761718</v>
      </c>
      <c r="L12" s="25">
        <f>K12*(1+$O$12)</f>
        <v>10.553628875759756</v>
      </c>
      <c r="M12" s="25">
        <f>L12*(1+$O$12)</f>
        <v>12.136673207123719</v>
      </c>
      <c r="N12" s="25">
        <f>L12*O14</f>
        <v>158.30443313639634</v>
      </c>
      <c r="O12" s="22">
        <v>0.15</v>
      </c>
      <c r="P12" s="27" t="s">
        <v>11</v>
      </c>
    </row>
    <row r="13" spans="2:19" ht="15.75" x14ac:dyDescent="0.25">
      <c r="B13" s="28">
        <f>B7</f>
        <v>0</v>
      </c>
      <c r="C13" s="29" t="str">
        <f>C7</f>
        <v>PV(10%)</v>
      </c>
      <c r="D13" s="25">
        <f>D12*(1+$O$13)^($D$11-D11-1)*$I$3</f>
        <v>0</v>
      </c>
      <c r="E13" s="25">
        <f t="shared" ref="E13:M13" si="4">E12*(1+$O$13)^($D$11-E11-1)*$I$3</f>
        <v>0</v>
      </c>
      <c r="F13" s="25">
        <f t="shared" si="4"/>
        <v>0</v>
      </c>
      <c r="G13" s="25">
        <f t="shared" si="4"/>
        <v>0</v>
      </c>
      <c r="H13" s="25">
        <f t="shared" si="4"/>
        <v>0</v>
      </c>
      <c r="I13" s="25">
        <f t="shared" si="4"/>
        <v>0</v>
      </c>
      <c r="J13" s="25">
        <f t="shared" si="4"/>
        <v>0</v>
      </c>
      <c r="K13" s="25">
        <f t="shared" si="4"/>
        <v>0</v>
      </c>
      <c r="L13" s="25">
        <f t="shared" si="4"/>
        <v>0</v>
      </c>
      <c r="M13" s="25">
        <f t="shared" si="4"/>
        <v>0</v>
      </c>
      <c r="N13" s="25">
        <f>N12*(1+$O$7)^($D$5-N11-1)</f>
        <v>61.033211882683567</v>
      </c>
      <c r="O13" s="30">
        <f>O7</f>
        <v>0.1</v>
      </c>
      <c r="P13" s="15" t="s">
        <v>12</v>
      </c>
    </row>
    <row r="14" spans="2:19" ht="13.5" thickBot="1" x14ac:dyDescent="0.25">
      <c r="B14" s="28"/>
      <c r="C14" s="32" t="s">
        <v>19</v>
      </c>
      <c r="D14" s="33">
        <f>SUM(D13:N13)</f>
        <v>61.033211882683567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9">
        <v>15</v>
      </c>
      <c r="P14" s="15" t="s">
        <v>14</v>
      </c>
    </row>
    <row r="15" spans="2:19" x14ac:dyDescent="0.2">
      <c r="B15" s="28"/>
      <c r="P15" s="15"/>
    </row>
    <row r="16" spans="2:19" ht="26.25" thickBot="1" x14ac:dyDescent="0.25">
      <c r="B16" s="28"/>
      <c r="N16" s="37" t="s">
        <v>6</v>
      </c>
      <c r="O16" s="17" t="s">
        <v>7</v>
      </c>
      <c r="P16" s="15"/>
    </row>
    <row r="17" spans="2:16" ht="15.75" x14ac:dyDescent="0.25">
      <c r="B17" s="18" t="s">
        <v>20</v>
      </c>
      <c r="C17" s="19" t="str">
        <f>C11</f>
        <v>Earnings per share</v>
      </c>
      <c r="D17" s="20">
        <f>D11</f>
        <v>2026</v>
      </c>
      <c r="E17" s="20">
        <f t="shared" ref="E17:M17" si="5">D17+1</f>
        <v>2027</v>
      </c>
      <c r="F17" s="20">
        <f t="shared" si="5"/>
        <v>2028</v>
      </c>
      <c r="G17" s="20">
        <f t="shared" si="5"/>
        <v>2029</v>
      </c>
      <c r="H17" s="20">
        <f t="shared" si="5"/>
        <v>2030</v>
      </c>
      <c r="I17" s="20">
        <f t="shared" si="5"/>
        <v>2031</v>
      </c>
      <c r="J17" s="20">
        <f t="shared" si="5"/>
        <v>2032</v>
      </c>
      <c r="K17" s="20">
        <f t="shared" si="5"/>
        <v>2033</v>
      </c>
      <c r="L17" s="20">
        <f t="shared" si="5"/>
        <v>2034</v>
      </c>
      <c r="M17" s="20">
        <f t="shared" si="5"/>
        <v>2035</v>
      </c>
      <c r="N17" s="20">
        <f>N11</f>
        <v>2035</v>
      </c>
      <c r="O17" s="22">
        <v>0</v>
      </c>
      <c r="P17" s="15" t="s">
        <v>10</v>
      </c>
    </row>
    <row r="18" spans="2:16" ht="15.75" x14ac:dyDescent="0.25">
      <c r="B18" s="18" t="s">
        <v>21</v>
      </c>
      <c r="C18" s="38">
        <f>C12</f>
        <v>3</v>
      </c>
      <c r="D18" s="25">
        <f>C18*(1+$O$17)</f>
        <v>3</v>
      </c>
      <c r="E18" s="25">
        <f>D18*(1+$O$17)</f>
        <v>3</v>
      </c>
      <c r="F18" s="25">
        <f>E18*(1+$O$17)</f>
        <v>3</v>
      </c>
      <c r="G18" s="25">
        <f>F18*(1+$O$17)</f>
        <v>3</v>
      </c>
      <c r="H18" s="25">
        <f>G18*(1+$O$17)</f>
        <v>3</v>
      </c>
      <c r="I18" s="25">
        <f>H18*(1+$O$18)</f>
        <v>3</v>
      </c>
      <c r="J18" s="25">
        <f>I18*(1+$O$18)</f>
        <v>3</v>
      </c>
      <c r="K18" s="25">
        <f>J18*(1+$O$18)</f>
        <v>3</v>
      </c>
      <c r="L18" s="25">
        <f>K18*(1+$O$18)</f>
        <v>3</v>
      </c>
      <c r="M18" s="25">
        <f>L18*(1+$O$18)</f>
        <v>3</v>
      </c>
      <c r="N18" s="25">
        <f>L18*O20</f>
        <v>21</v>
      </c>
      <c r="O18" s="22">
        <v>0</v>
      </c>
      <c r="P18" s="27" t="s">
        <v>11</v>
      </c>
    </row>
    <row r="19" spans="2:16" ht="15.75" x14ac:dyDescent="0.25">
      <c r="B19" s="18" t="s">
        <v>22</v>
      </c>
      <c r="C19" s="29" t="str">
        <f>C13</f>
        <v>PV(10%)</v>
      </c>
      <c r="D19" s="25">
        <f>D18*(1+$O$19)^($D$17-D17-1)*$I$3</f>
        <v>0</v>
      </c>
      <c r="E19" s="25">
        <f t="shared" ref="E19:M19" si="6">E18*(1+$O$19)^($D$17-E17-1)*$I$3</f>
        <v>0</v>
      </c>
      <c r="F19" s="25">
        <f t="shared" si="6"/>
        <v>0</v>
      </c>
      <c r="G19" s="25">
        <f t="shared" si="6"/>
        <v>0</v>
      </c>
      <c r="H19" s="25">
        <f t="shared" si="6"/>
        <v>0</v>
      </c>
      <c r="I19" s="25">
        <f t="shared" si="6"/>
        <v>0</v>
      </c>
      <c r="J19" s="25">
        <f t="shared" si="6"/>
        <v>0</v>
      </c>
      <c r="K19" s="25">
        <f t="shared" si="6"/>
        <v>0</v>
      </c>
      <c r="L19" s="25">
        <f t="shared" si="6"/>
        <v>0</v>
      </c>
      <c r="M19" s="25">
        <f t="shared" si="6"/>
        <v>0</v>
      </c>
      <c r="N19" s="25">
        <f t="shared" ref="N19" si="7">N18*(1+$O$19)^($D$17-N17-1)</f>
        <v>8.0964090780201605</v>
      </c>
      <c r="O19" s="30">
        <f>O13</f>
        <v>0.1</v>
      </c>
      <c r="P19" s="15" t="s">
        <v>12</v>
      </c>
    </row>
    <row r="20" spans="2:16" ht="13.5" thickBot="1" x14ac:dyDescent="0.25">
      <c r="B20" s="18" t="s">
        <v>23</v>
      </c>
      <c r="C20" s="32" t="s">
        <v>19</v>
      </c>
      <c r="D20" s="33">
        <f>SUM(D19:N19)</f>
        <v>8.0964090780201605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>
        <v>7</v>
      </c>
      <c r="P20" s="15" t="s">
        <v>14</v>
      </c>
    </row>
    <row r="21" spans="2:16" ht="13.5" thickBot="1" x14ac:dyDescent="0.25">
      <c r="B21" s="28"/>
      <c r="P21" s="15"/>
    </row>
    <row r="22" spans="2:16" ht="13.5" thickBot="1" x14ac:dyDescent="0.25">
      <c r="B22" s="28"/>
      <c r="C22" s="40" t="s">
        <v>24</v>
      </c>
      <c r="D22" s="41" t="s">
        <v>25</v>
      </c>
      <c r="E22" s="41" t="s">
        <v>26</v>
      </c>
      <c r="F22" s="42" t="s">
        <v>27</v>
      </c>
      <c r="G22" s="43"/>
      <c r="P22" s="15"/>
    </row>
    <row r="23" spans="2:16" x14ac:dyDescent="0.2">
      <c r="B23" s="28"/>
      <c r="C23" s="28" t="s">
        <v>28</v>
      </c>
      <c r="D23" s="44">
        <v>0.34</v>
      </c>
      <c r="E23" s="25">
        <f>D8</f>
        <v>21.264168367154767</v>
      </c>
      <c r="F23" s="45">
        <f>E23*D23</f>
        <v>7.2298172448326214</v>
      </c>
      <c r="G23" s="43"/>
      <c r="P23" s="15"/>
    </row>
    <row r="24" spans="2:16" x14ac:dyDescent="0.2">
      <c r="B24" s="28"/>
      <c r="C24" s="28" t="s">
        <v>29</v>
      </c>
      <c r="D24" s="44">
        <v>0.33</v>
      </c>
      <c r="E24" s="25">
        <f>D14</f>
        <v>61.033211882683567</v>
      </c>
      <c r="F24" s="45">
        <f>E24*D24</f>
        <v>20.140959921285578</v>
      </c>
      <c r="G24" s="43"/>
      <c r="P24" s="15"/>
    </row>
    <row r="25" spans="2:16" ht="13.5" thickBot="1" x14ac:dyDescent="0.25">
      <c r="B25" s="28"/>
      <c r="C25" s="46" t="s">
        <v>30</v>
      </c>
      <c r="D25" s="44">
        <v>0.33</v>
      </c>
      <c r="E25" s="47">
        <f>D20</f>
        <v>8.0964090780201605</v>
      </c>
      <c r="F25" s="48">
        <f>E25*D25</f>
        <v>2.671814995746653</v>
      </c>
      <c r="G25" s="43"/>
      <c r="P25" s="15"/>
    </row>
    <row r="26" spans="2:16" ht="13.5" thickBot="1" x14ac:dyDescent="0.25">
      <c r="B26" s="28"/>
      <c r="C26" s="49" t="s">
        <v>31</v>
      </c>
      <c r="D26" s="49">
        <f>C3</f>
        <v>0</v>
      </c>
      <c r="E26" s="50" t="s">
        <v>32</v>
      </c>
      <c r="F26" s="51">
        <f>SUM(F23:F25)</f>
        <v>30.042592161864853</v>
      </c>
      <c r="G26" s="43"/>
      <c r="P26" s="15"/>
    </row>
    <row r="27" spans="2:16" x14ac:dyDescent="0.2">
      <c r="B27" s="28"/>
      <c r="E27" s="43"/>
      <c r="F27" s="43"/>
      <c r="G27" s="43"/>
      <c r="P27" s="15"/>
    </row>
    <row r="28" spans="2:16" x14ac:dyDescent="0.2">
      <c r="B28" s="28"/>
      <c r="P28" s="15"/>
    </row>
    <row r="29" spans="2:16" x14ac:dyDescent="0.2">
      <c r="B29" s="28"/>
      <c r="P29" s="15"/>
    </row>
    <row r="30" spans="2:16" ht="13.5" thickBot="1" x14ac:dyDescent="0.25">
      <c r="B30" s="46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</sheetData>
  <conditionalFormatting sqref="D3">
    <cfRule type="containsText" dxfId="5" priority="1" operator="containsText" text="overvalued">
      <formula>NOT(ISERROR(SEARCH("overvalued",D3)))</formula>
    </cfRule>
    <cfRule type="containsText" dxfId="4" priority="2" operator="containsText" text="undervalued">
      <formula>NOT(ISERROR(SEARCH("undervalued",D3)))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0958-5BF3-3D42-82B9-4E840D7B725A}">
  <dimension ref="B1:S30"/>
  <sheetViews>
    <sheetView showGridLines="0" zoomScale="147" zoomScaleNormal="147" workbookViewId="0">
      <selection activeCell="B4" sqref="B4:C4"/>
    </sheetView>
  </sheetViews>
  <sheetFormatPr defaultColWidth="11.5" defaultRowHeight="12.75" x14ac:dyDescent="0.2"/>
  <cols>
    <col min="1" max="1" width="4.375" style="1" customWidth="1"/>
    <col min="2" max="2" width="11.5" style="1" customWidth="1"/>
    <col min="3" max="3" width="23" style="1" customWidth="1"/>
    <col min="4" max="4" width="10.625" style="1" bestFit="1" customWidth="1"/>
    <col min="5" max="5" width="7.5" style="1" customWidth="1"/>
    <col min="6" max="6" width="9.625" style="1" customWidth="1"/>
    <col min="7" max="13" width="7" style="1" customWidth="1"/>
    <col min="14" max="14" width="10.625" style="1" bestFit="1" customWidth="1"/>
    <col min="15" max="15" width="11.5" style="1"/>
    <col min="16" max="16" width="20" style="1" customWidth="1"/>
    <col min="17" max="16384" width="11.5" style="1"/>
  </cols>
  <sheetData>
    <row r="1" spans="2:19" ht="13.5" thickBot="1" x14ac:dyDescent="0.25">
      <c r="S1" s="2" t="s">
        <v>0</v>
      </c>
    </row>
    <row r="2" spans="2:19" ht="16.5" thickBot="1" x14ac:dyDescent="0.3">
      <c r="B2" s="3"/>
      <c r="C2" s="4" t="s">
        <v>2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S2" s="8" t="s">
        <v>3</v>
      </c>
    </row>
    <row r="3" spans="2:19" ht="13.5" thickBot="1" x14ac:dyDescent="0.25">
      <c r="B3" s="9" t="s">
        <v>34</v>
      </c>
      <c r="C3" s="10"/>
      <c r="D3" s="11"/>
      <c r="F3" s="12" t="s">
        <v>5</v>
      </c>
      <c r="G3" s="13"/>
      <c r="H3" s="13"/>
      <c r="I3" s="14">
        <v>0.05</v>
      </c>
      <c r="P3" s="15"/>
    </row>
    <row r="4" spans="2:19" ht="27" thickBot="1" x14ac:dyDescent="0.3">
      <c r="B4" s="55"/>
      <c r="N4" s="16" t="s">
        <v>6</v>
      </c>
      <c r="O4" s="17" t="s">
        <v>7</v>
      </c>
      <c r="P4" s="15"/>
    </row>
    <row r="5" spans="2:19" ht="15.75" x14ac:dyDescent="0.25">
      <c r="B5" s="18" t="s">
        <v>8</v>
      </c>
      <c r="C5" s="19" t="s">
        <v>35</v>
      </c>
      <c r="D5" s="20">
        <v>2026</v>
      </c>
      <c r="E5" s="20">
        <f t="shared" ref="E5:M5" si="0">D5+1</f>
        <v>2027</v>
      </c>
      <c r="F5" s="20">
        <f t="shared" si="0"/>
        <v>2028</v>
      </c>
      <c r="G5" s="20">
        <f t="shared" si="0"/>
        <v>2029</v>
      </c>
      <c r="H5" s="20">
        <f t="shared" si="0"/>
        <v>2030</v>
      </c>
      <c r="I5" s="20">
        <f t="shared" si="0"/>
        <v>2031</v>
      </c>
      <c r="J5" s="20">
        <f t="shared" si="0"/>
        <v>2032</v>
      </c>
      <c r="K5" s="20">
        <f t="shared" si="0"/>
        <v>2033</v>
      </c>
      <c r="L5" s="20">
        <f t="shared" si="0"/>
        <v>2034</v>
      </c>
      <c r="M5" s="20">
        <f t="shared" si="0"/>
        <v>2035</v>
      </c>
      <c r="N5" s="21">
        <v>2035</v>
      </c>
      <c r="O5" s="22">
        <v>0.06</v>
      </c>
      <c r="P5" s="15" t="s">
        <v>10</v>
      </c>
      <c r="R5" s="23"/>
    </row>
    <row r="6" spans="2:19" ht="15.75" x14ac:dyDescent="0.25">
      <c r="B6" s="18" t="s">
        <v>33</v>
      </c>
      <c r="C6" s="24">
        <v>40</v>
      </c>
      <c r="D6" s="25">
        <f>C6*(1+$O$5)</f>
        <v>42.400000000000006</v>
      </c>
      <c r="E6" s="25">
        <f>D6*(1+$O$5)</f>
        <v>44.94400000000001</v>
      </c>
      <c r="F6" s="25">
        <f>E6*(1+$O$5)</f>
        <v>47.640640000000012</v>
      </c>
      <c r="G6" s="25">
        <f>F6*(1+$O$5)</f>
        <v>50.499078400000016</v>
      </c>
      <c r="H6" s="25">
        <f>G6*(1+$O$5)</f>
        <v>53.529023104000018</v>
      </c>
      <c r="I6" s="25">
        <f>H6*(1+$O$6)</f>
        <v>56.740764490240025</v>
      </c>
      <c r="J6" s="25">
        <f>I6*(1+$O$6)</f>
        <v>60.145210359654428</v>
      </c>
      <c r="K6" s="25">
        <f>J6*(1+$O$6)</f>
        <v>63.7539229812337</v>
      </c>
      <c r="L6" s="25">
        <f>K6*(1+$O$6)</f>
        <v>67.579158360107726</v>
      </c>
      <c r="M6" s="25">
        <f>L6*(1+$O$6)</f>
        <v>71.633907861714192</v>
      </c>
      <c r="N6" s="26">
        <f>L6*O8</f>
        <v>1013.6873754016159</v>
      </c>
      <c r="O6" s="22">
        <v>0.06</v>
      </c>
      <c r="P6" s="27" t="s">
        <v>11</v>
      </c>
    </row>
    <row r="7" spans="2:19" ht="15.75" x14ac:dyDescent="0.25">
      <c r="B7" s="28"/>
      <c r="C7" s="29" t="str">
        <f>CONCATENATE(R8,O7*100,S8)</f>
        <v>PV(10%)</v>
      </c>
      <c r="D7" s="26">
        <f>D6*(1+$O$7)^($D$5-D5-1)*$I$3</f>
        <v>1.9272727272727275</v>
      </c>
      <c r="E7" s="26">
        <f>E6*(1+$O$7)^($D$5-E5-1)*$I$3</f>
        <v>1.8571900826446281</v>
      </c>
      <c r="F7" s="26">
        <f>F6*(1+$O$7)^($D$5-F5-1)*$I$3</f>
        <v>1.7896558978211872</v>
      </c>
      <c r="G7" s="26">
        <f t="shared" ref="E7:M7" si="1">G6*(1+$O$7)^($D$5-G5-1)*$I$3</f>
        <v>1.7245775015367806</v>
      </c>
      <c r="H7" s="26">
        <f>H6*(1+$O$7)^($D$5-H5-1)*$I$3</f>
        <v>1.6618655923899883</v>
      </c>
      <c r="I7" s="26">
        <f t="shared" si="1"/>
        <v>1.6014341163030796</v>
      </c>
      <c r="J7" s="26">
        <f t="shared" si="1"/>
        <v>1.5432001484375129</v>
      </c>
      <c r="K7" s="26">
        <f t="shared" si="1"/>
        <v>1.4870837794034217</v>
      </c>
      <c r="L7" s="26">
        <f t="shared" si="1"/>
        <v>1.4330080056069336</v>
      </c>
      <c r="M7" s="26">
        <f t="shared" si="1"/>
        <v>1.3808986235848633</v>
      </c>
      <c r="N7" s="26">
        <f t="shared" ref="N7" si="2">N6*(1+$O$7)^($D$5-N5-1)</f>
        <v>390.82036516552733</v>
      </c>
      <c r="O7" s="30">
        <v>0.1</v>
      </c>
      <c r="P7" s="31" t="s">
        <v>12</v>
      </c>
    </row>
    <row r="8" spans="2:19" ht="13.5" thickBot="1" x14ac:dyDescent="0.25">
      <c r="B8" s="28"/>
      <c r="C8" s="32" t="s">
        <v>13</v>
      </c>
      <c r="D8" s="33">
        <f>SUM(D7:N7)</f>
        <v>407.22655164052844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5">
        <v>15</v>
      </c>
      <c r="P8" s="31" t="s">
        <v>14</v>
      </c>
      <c r="R8" s="36" t="s">
        <v>15</v>
      </c>
      <c r="S8" s="36" t="s">
        <v>16</v>
      </c>
    </row>
    <row r="9" spans="2:19" x14ac:dyDescent="0.2">
      <c r="B9" s="28"/>
      <c r="P9" s="15"/>
    </row>
    <row r="10" spans="2:19" ht="26.25" thickBot="1" x14ac:dyDescent="0.25">
      <c r="B10" s="28"/>
      <c r="N10" s="37" t="s">
        <v>6</v>
      </c>
      <c r="O10" s="17" t="s">
        <v>7</v>
      </c>
      <c r="P10" s="15"/>
    </row>
    <row r="11" spans="2:19" ht="15.75" x14ac:dyDescent="0.25">
      <c r="B11" s="18" t="s">
        <v>17</v>
      </c>
      <c r="C11" s="19" t="str">
        <f>C5</f>
        <v>Net income billions</v>
      </c>
      <c r="D11" s="20">
        <f>D5</f>
        <v>2026</v>
      </c>
      <c r="E11" s="20">
        <f t="shared" ref="E11:M11" si="3">D11+1</f>
        <v>2027</v>
      </c>
      <c r="F11" s="20">
        <f t="shared" si="3"/>
        <v>2028</v>
      </c>
      <c r="G11" s="20">
        <f t="shared" si="3"/>
        <v>2029</v>
      </c>
      <c r="H11" s="20">
        <f t="shared" si="3"/>
        <v>2030</v>
      </c>
      <c r="I11" s="20">
        <f t="shared" si="3"/>
        <v>2031</v>
      </c>
      <c r="J11" s="20">
        <f t="shared" si="3"/>
        <v>2032</v>
      </c>
      <c r="K11" s="20">
        <f t="shared" si="3"/>
        <v>2033</v>
      </c>
      <c r="L11" s="20">
        <f t="shared" si="3"/>
        <v>2034</v>
      </c>
      <c r="M11" s="20">
        <f t="shared" si="3"/>
        <v>2035</v>
      </c>
      <c r="N11" s="20">
        <f>N5</f>
        <v>2035</v>
      </c>
      <c r="O11" s="22">
        <v>0.08</v>
      </c>
      <c r="P11" s="15" t="s">
        <v>10</v>
      </c>
    </row>
    <row r="12" spans="2:19" ht="15.75" x14ac:dyDescent="0.25">
      <c r="B12" s="18" t="s">
        <v>18</v>
      </c>
      <c r="C12" s="38">
        <f>C6</f>
        <v>40</v>
      </c>
      <c r="D12" s="25">
        <f>C12*(1+$O$11)</f>
        <v>43.2</v>
      </c>
      <c r="E12" s="25">
        <f>D12*(1+$O$11)</f>
        <v>46.656000000000006</v>
      </c>
      <c r="F12" s="25">
        <f>E12*(1+$O$11)</f>
        <v>50.388480000000008</v>
      </c>
      <c r="G12" s="25">
        <f>F12*(1+$O$11)</f>
        <v>54.419558400000014</v>
      </c>
      <c r="H12" s="25">
        <f>G12*(1+$O$11)</f>
        <v>58.773123072000018</v>
      </c>
      <c r="I12" s="25">
        <f>H12*(1+$O$12)</f>
        <v>63.474972917760027</v>
      </c>
      <c r="J12" s="25">
        <f>I12*(1+$O$12)</f>
        <v>68.552970751180837</v>
      </c>
      <c r="K12" s="25">
        <f>J12*(1+$O$12)</f>
        <v>74.037208411275316</v>
      </c>
      <c r="L12" s="25">
        <f>K12*(1+$O$12)</f>
        <v>79.96018508417734</v>
      </c>
      <c r="M12" s="25">
        <f>L12*(1+$O$12)</f>
        <v>86.356999890911538</v>
      </c>
      <c r="N12" s="25">
        <f>L12*O14</f>
        <v>1599.2037016835468</v>
      </c>
      <c r="O12" s="22">
        <v>0.08</v>
      </c>
      <c r="P12" s="27" t="s">
        <v>11</v>
      </c>
    </row>
    <row r="13" spans="2:19" ht="15.75" x14ac:dyDescent="0.25">
      <c r="B13" s="28">
        <f>B7</f>
        <v>0</v>
      </c>
      <c r="C13" s="29" t="str">
        <f>C7</f>
        <v>PV(10%)</v>
      </c>
      <c r="D13" s="25">
        <f>D12*(1+$O$13)^($D$11-D11-1)*$I$3</f>
        <v>1.9636363636363638</v>
      </c>
      <c r="E13" s="25">
        <f t="shared" ref="E13:M13" si="4">E12*(1+$O$13)^($D$11-E11-1)*$I$3</f>
        <v>1.9279338842975209</v>
      </c>
      <c r="F13" s="25">
        <f t="shared" si="4"/>
        <v>1.8928805409466563</v>
      </c>
      <c r="G13" s="25">
        <f t="shared" si="4"/>
        <v>1.8584645311112629</v>
      </c>
      <c r="H13" s="25">
        <f t="shared" si="4"/>
        <v>1.82467426690924</v>
      </c>
      <c r="I13" s="25">
        <f t="shared" si="4"/>
        <v>1.7914983711472539</v>
      </c>
      <c r="J13" s="25">
        <f t="shared" si="4"/>
        <v>1.7589256734900311</v>
      </c>
      <c r="K13" s="25">
        <f t="shared" si="4"/>
        <v>1.7269452066993034</v>
      </c>
      <c r="L13" s="25">
        <f t="shared" si="4"/>
        <v>1.6955462029411341</v>
      </c>
      <c r="M13" s="25">
        <f t="shared" si="4"/>
        <v>1.6647180901603864</v>
      </c>
      <c r="N13" s="25">
        <f>N12*(1+$O$7)^($D$5-N11-1)</f>
        <v>616.56225561495785</v>
      </c>
      <c r="O13" s="30">
        <f>O7</f>
        <v>0.1</v>
      </c>
      <c r="P13" s="15" t="s">
        <v>12</v>
      </c>
    </row>
    <row r="14" spans="2:19" ht="13.5" thickBot="1" x14ac:dyDescent="0.25">
      <c r="B14" s="28"/>
      <c r="C14" s="32" t="s">
        <v>19</v>
      </c>
      <c r="D14" s="33">
        <f>SUM(D13:N13)</f>
        <v>634.66747874629698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9">
        <v>20</v>
      </c>
      <c r="P14" s="15" t="s">
        <v>14</v>
      </c>
    </row>
    <row r="15" spans="2:19" x14ac:dyDescent="0.2">
      <c r="B15" s="28"/>
      <c r="P15" s="15"/>
    </row>
    <row r="16" spans="2:19" ht="26.25" thickBot="1" x14ac:dyDescent="0.25">
      <c r="B16" s="28"/>
      <c r="N16" s="37" t="s">
        <v>6</v>
      </c>
      <c r="O16" s="17" t="s">
        <v>7</v>
      </c>
      <c r="P16" s="15"/>
    </row>
    <row r="17" spans="2:16" ht="15.75" x14ac:dyDescent="0.25">
      <c r="B17" s="18" t="s">
        <v>20</v>
      </c>
      <c r="C17" s="19" t="str">
        <f>C11</f>
        <v>Net income billions</v>
      </c>
      <c r="D17" s="20">
        <f>D11</f>
        <v>2026</v>
      </c>
      <c r="E17" s="20">
        <f t="shared" ref="E17:M17" si="5">D17+1</f>
        <v>2027</v>
      </c>
      <c r="F17" s="20">
        <f t="shared" si="5"/>
        <v>2028</v>
      </c>
      <c r="G17" s="20">
        <f t="shared" si="5"/>
        <v>2029</v>
      </c>
      <c r="H17" s="20">
        <f t="shared" si="5"/>
        <v>2030</v>
      </c>
      <c r="I17" s="20">
        <f t="shared" si="5"/>
        <v>2031</v>
      </c>
      <c r="J17" s="20">
        <f t="shared" si="5"/>
        <v>2032</v>
      </c>
      <c r="K17" s="20">
        <f t="shared" si="5"/>
        <v>2033</v>
      </c>
      <c r="L17" s="20">
        <f t="shared" si="5"/>
        <v>2034</v>
      </c>
      <c r="M17" s="20">
        <f t="shared" si="5"/>
        <v>2035</v>
      </c>
      <c r="N17" s="20">
        <f>N11</f>
        <v>2035</v>
      </c>
      <c r="O17" s="22">
        <v>0.04</v>
      </c>
      <c r="P17" s="15" t="s">
        <v>10</v>
      </c>
    </row>
    <row r="18" spans="2:16" ht="15.75" x14ac:dyDescent="0.25">
      <c r="B18" s="18" t="s">
        <v>21</v>
      </c>
      <c r="C18" s="38">
        <f>C12</f>
        <v>40</v>
      </c>
      <c r="D18" s="25">
        <f>C18*(1+$O$17)</f>
        <v>41.6</v>
      </c>
      <c r="E18" s="25">
        <f>D18*(1+$O$17)</f>
        <v>43.264000000000003</v>
      </c>
      <c r="F18" s="25">
        <f>E18*(1+$O$17)</f>
        <v>44.994560000000007</v>
      </c>
      <c r="G18" s="25">
        <f>F18*(1+$O$17)</f>
        <v>46.794342400000012</v>
      </c>
      <c r="H18" s="25">
        <f>G18*(1+$O$17)</f>
        <v>48.666116096000017</v>
      </c>
      <c r="I18" s="25">
        <f>H18*(1+$O$18)</f>
        <v>50.61276073984002</v>
      </c>
      <c r="J18" s="25">
        <f>I18*(1+$O$18)</f>
        <v>52.637271169433625</v>
      </c>
      <c r="K18" s="25">
        <f>J18*(1+$O$18)</f>
        <v>54.742762016210975</v>
      </c>
      <c r="L18" s="25">
        <f>K18*(1+$O$18)</f>
        <v>56.932472496859418</v>
      </c>
      <c r="M18" s="25">
        <f>L18*(1+$O$18)</f>
        <v>59.2097713967338</v>
      </c>
      <c r="N18" s="25">
        <f>L18*O20</f>
        <v>683.18966996231302</v>
      </c>
      <c r="O18" s="22">
        <v>0.04</v>
      </c>
      <c r="P18" s="27" t="s">
        <v>11</v>
      </c>
    </row>
    <row r="19" spans="2:16" ht="15.75" x14ac:dyDescent="0.25">
      <c r="B19" s="18" t="s">
        <v>22</v>
      </c>
      <c r="C19" s="29" t="str">
        <f>C13</f>
        <v>PV(10%)</v>
      </c>
      <c r="D19" s="25">
        <f>D18*(1+$O$19)^($D$17-D17-1)*$I$3</f>
        <v>1.8909090909090911</v>
      </c>
      <c r="E19" s="25">
        <f t="shared" ref="E19:M19" si="6">E18*(1+$O$19)^($D$17-E17-1)*$I$3</f>
        <v>1.7877685950413225</v>
      </c>
      <c r="F19" s="25">
        <f t="shared" si="6"/>
        <v>1.6902539444027047</v>
      </c>
      <c r="G19" s="25">
        <f t="shared" si="6"/>
        <v>1.5980582747080119</v>
      </c>
      <c r="H19" s="25">
        <f t="shared" si="6"/>
        <v>1.5108914597239385</v>
      </c>
      <c r="I19" s="25">
        <f t="shared" si="6"/>
        <v>1.4284791982844509</v>
      </c>
      <c r="J19" s="25">
        <f t="shared" si="6"/>
        <v>1.350562151105299</v>
      </c>
      <c r="K19" s="25">
        <f t="shared" si="6"/>
        <v>1.2768951246813736</v>
      </c>
      <c r="L19" s="25">
        <f t="shared" si="6"/>
        <v>1.2072462996987534</v>
      </c>
      <c r="M19" s="25">
        <f t="shared" si="6"/>
        <v>1.1413965015333667</v>
      </c>
      <c r="N19" s="25">
        <f t="shared" ref="N19" si="7">N18*(1+$O$19)^($D$17-N17-1)</f>
        <v>263.39919266154612</v>
      </c>
      <c r="O19" s="30">
        <f>O13</f>
        <v>0.1</v>
      </c>
      <c r="P19" s="15" t="s">
        <v>12</v>
      </c>
    </row>
    <row r="20" spans="2:16" ht="13.5" thickBot="1" x14ac:dyDescent="0.25">
      <c r="B20" s="18" t="s">
        <v>23</v>
      </c>
      <c r="C20" s="32" t="s">
        <v>19</v>
      </c>
      <c r="D20" s="33">
        <f>SUM(D19:N19)</f>
        <v>278.28165330163444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>
        <v>12</v>
      </c>
      <c r="P20" s="15" t="s">
        <v>14</v>
      </c>
    </row>
    <row r="21" spans="2:16" ht="13.5" thickBot="1" x14ac:dyDescent="0.25">
      <c r="B21" s="28"/>
      <c r="P21" s="15"/>
    </row>
    <row r="22" spans="2:16" ht="13.5" thickBot="1" x14ac:dyDescent="0.25">
      <c r="B22" s="28"/>
      <c r="C22" s="40" t="s">
        <v>24</v>
      </c>
      <c r="D22" s="41" t="s">
        <v>25</v>
      </c>
      <c r="E22" s="41" t="s">
        <v>26</v>
      </c>
      <c r="F22" s="42" t="s">
        <v>27</v>
      </c>
      <c r="G22" s="43"/>
      <c r="P22" s="15"/>
    </row>
    <row r="23" spans="2:16" x14ac:dyDescent="0.2">
      <c r="B23" s="28"/>
      <c r="C23" s="28" t="s">
        <v>28</v>
      </c>
      <c r="D23" s="44">
        <v>0.34</v>
      </c>
      <c r="E23" s="25">
        <f>D8</f>
        <v>407.22655164052844</v>
      </c>
      <c r="F23" s="45">
        <f>E23*D23</f>
        <v>138.45702755777967</v>
      </c>
      <c r="G23" s="43"/>
      <c r="P23" s="15"/>
    </row>
    <row r="24" spans="2:16" x14ac:dyDescent="0.2">
      <c r="B24" s="28"/>
      <c r="C24" s="28" t="s">
        <v>29</v>
      </c>
      <c r="D24" s="44">
        <v>0.33</v>
      </c>
      <c r="E24" s="25">
        <f>D14</f>
        <v>634.66747874629698</v>
      </c>
      <c r="F24" s="45">
        <f>E24*D24</f>
        <v>209.440267986278</v>
      </c>
      <c r="G24" s="43"/>
      <c r="P24" s="15"/>
    </row>
    <row r="25" spans="2:16" ht="13.5" thickBot="1" x14ac:dyDescent="0.25">
      <c r="B25" s="28"/>
      <c r="C25" s="46" t="s">
        <v>30</v>
      </c>
      <c r="D25" s="44">
        <v>0.33</v>
      </c>
      <c r="E25" s="47">
        <f>D20</f>
        <v>278.28165330163444</v>
      </c>
      <c r="F25" s="48">
        <f>E25*D25</f>
        <v>91.832945589539364</v>
      </c>
      <c r="G25" s="43"/>
      <c r="P25" s="15"/>
    </row>
    <row r="26" spans="2:16" ht="13.5" thickBot="1" x14ac:dyDescent="0.25">
      <c r="B26" s="28"/>
      <c r="C26" s="49" t="s">
        <v>31</v>
      </c>
      <c r="D26" s="49">
        <f>C3</f>
        <v>0</v>
      </c>
      <c r="E26" s="50" t="s">
        <v>32</v>
      </c>
      <c r="F26" s="51">
        <f>SUM(F23:F25)</f>
        <v>439.73024113359702</v>
      </c>
      <c r="G26" s="43"/>
      <c r="P26" s="15"/>
    </row>
    <row r="27" spans="2:16" x14ac:dyDescent="0.2">
      <c r="B27" s="28"/>
      <c r="E27" s="43"/>
      <c r="F27" s="43"/>
      <c r="G27" s="43"/>
      <c r="P27" s="15"/>
    </row>
    <row r="28" spans="2:16" x14ac:dyDescent="0.2">
      <c r="B28" s="28"/>
      <c r="P28" s="15"/>
    </row>
    <row r="29" spans="2:16" x14ac:dyDescent="0.2">
      <c r="B29" s="28"/>
      <c r="P29" s="15"/>
    </row>
    <row r="30" spans="2:16" ht="13.5" thickBot="1" x14ac:dyDescent="0.25">
      <c r="B30" s="46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</sheetData>
  <conditionalFormatting sqref="D3">
    <cfRule type="containsText" dxfId="3" priority="1" operator="containsText" text="overvalued">
      <formula>NOT(ISERROR(SEARCH("overvalued",D3)))</formula>
    </cfRule>
    <cfRule type="containsText" dxfId="2" priority="2" operator="containsText" text="undervalued">
      <formula>NOT(ISERROR(SEARCH("undervalued",D3)))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5746-F71E-D548-86C0-C5BA3C77BBFC}">
  <dimension ref="B1:S30"/>
  <sheetViews>
    <sheetView showGridLines="0" zoomScale="148" zoomScaleNormal="148" workbookViewId="0">
      <selection activeCell="R7" sqref="R7"/>
    </sheetView>
  </sheetViews>
  <sheetFormatPr defaultColWidth="11.5" defaultRowHeight="12.75" x14ac:dyDescent="0.2"/>
  <cols>
    <col min="1" max="1" width="4.375" style="1" customWidth="1"/>
    <col min="2" max="2" width="11.5" style="1" customWidth="1"/>
    <col min="3" max="3" width="23" style="1" customWidth="1"/>
    <col min="4" max="4" width="10.625" style="1" bestFit="1" customWidth="1"/>
    <col min="5" max="5" width="7.5" style="1" customWidth="1"/>
    <col min="6" max="6" width="9.625" style="1" customWidth="1"/>
    <col min="7" max="13" width="7" style="1" customWidth="1"/>
    <col min="14" max="14" width="10.625" style="1" bestFit="1" customWidth="1"/>
    <col min="15" max="15" width="11.5" style="1"/>
    <col min="16" max="16" width="20" style="1" customWidth="1"/>
    <col min="17" max="16384" width="11.5" style="1"/>
  </cols>
  <sheetData>
    <row r="1" spans="2:19" ht="13.5" thickBot="1" x14ac:dyDescent="0.25">
      <c r="S1" s="2" t="s">
        <v>0</v>
      </c>
    </row>
    <row r="2" spans="2:19" ht="16.5" thickBot="1" x14ac:dyDescent="0.3">
      <c r="B2" s="3" t="s">
        <v>37</v>
      </c>
      <c r="C2" s="4" t="s">
        <v>2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S2" s="8" t="s">
        <v>3</v>
      </c>
    </row>
    <row r="3" spans="2:19" ht="13.5" thickBot="1" x14ac:dyDescent="0.25">
      <c r="B3" s="9" t="s">
        <v>38</v>
      </c>
      <c r="C3" s="49">
        <v>232.8</v>
      </c>
      <c r="D3" s="11"/>
      <c r="F3" s="12" t="s">
        <v>5</v>
      </c>
      <c r="G3" s="13"/>
      <c r="H3" s="13"/>
      <c r="I3" s="56">
        <v>0</v>
      </c>
      <c r="P3" s="15"/>
    </row>
    <row r="4" spans="2:19" ht="27" thickBot="1" x14ac:dyDescent="0.3">
      <c r="B4" s="55"/>
      <c r="N4" s="37" t="s">
        <v>6</v>
      </c>
      <c r="O4" s="17" t="s">
        <v>7</v>
      </c>
      <c r="P4" s="15"/>
    </row>
    <row r="5" spans="2:19" ht="15.75" x14ac:dyDescent="0.25">
      <c r="B5" s="28" t="s">
        <v>8</v>
      </c>
      <c r="C5" s="57" t="s">
        <v>39</v>
      </c>
      <c r="D5" s="20">
        <v>2026</v>
      </c>
      <c r="E5" s="20">
        <f t="shared" ref="E5:M5" si="0">D5+1</f>
        <v>2027</v>
      </c>
      <c r="F5" s="20">
        <f t="shared" si="0"/>
        <v>2028</v>
      </c>
      <c r="G5" s="20">
        <f t="shared" si="0"/>
        <v>2029</v>
      </c>
      <c r="H5" s="20">
        <f t="shared" si="0"/>
        <v>2030</v>
      </c>
      <c r="I5" s="20">
        <f t="shared" si="0"/>
        <v>2031</v>
      </c>
      <c r="J5" s="20">
        <f t="shared" si="0"/>
        <v>2032</v>
      </c>
      <c r="K5" s="20">
        <f t="shared" si="0"/>
        <v>2033</v>
      </c>
      <c r="L5" s="20">
        <f t="shared" si="0"/>
        <v>2034</v>
      </c>
      <c r="M5" s="20">
        <f t="shared" si="0"/>
        <v>2035</v>
      </c>
      <c r="N5" s="20">
        <f>M5</f>
        <v>2035</v>
      </c>
      <c r="O5" s="22">
        <v>0.1</v>
      </c>
      <c r="P5" s="15" t="s">
        <v>10</v>
      </c>
      <c r="R5" s="23"/>
    </row>
    <row r="6" spans="2:19" ht="15.75" x14ac:dyDescent="0.25">
      <c r="B6" s="28" t="s">
        <v>40</v>
      </c>
      <c r="C6" s="24">
        <v>39</v>
      </c>
      <c r="D6" s="25">
        <f>C6*(1+$O$5)</f>
        <v>42.900000000000006</v>
      </c>
      <c r="E6" s="25">
        <f>D6*(1+$O$5)</f>
        <v>47.190000000000012</v>
      </c>
      <c r="F6" s="25">
        <f>E6*(1+$O$5)</f>
        <v>51.90900000000002</v>
      </c>
      <c r="G6" s="25">
        <f>F6*(1+$O$5)</f>
        <v>57.099900000000027</v>
      </c>
      <c r="H6" s="25">
        <f>G6*(1+$O$5)</f>
        <v>62.809890000000031</v>
      </c>
      <c r="I6" s="25">
        <f>H6*(1+$O$6)</f>
        <v>65.950384500000041</v>
      </c>
      <c r="J6" s="25">
        <f>I6*(1+$O$6)</f>
        <v>69.247903725000043</v>
      </c>
      <c r="K6" s="25">
        <f>J6*(1+$O$6)</f>
        <v>72.71029891125005</v>
      </c>
      <c r="L6" s="25">
        <f>K6*(1+$O$6)</f>
        <v>76.345813856812555</v>
      </c>
      <c r="M6" s="25">
        <f>L6*(1+$O$6)</f>
        <v>80.163104549653184</v>
      </c>
      <c r="N6" s="25">
        <f>L6*O8</f>
        <v>763.45813856812561</v>
      </c>
      <c r="O6" s="22">
        <v>0.05</v>
      </c>
      <c r="P6" s="27" t="s">
        <v>11</v>
      </c>
    </row>
    <row r="7" spans="2:19" ht="15.75" x14ac:dyDescent="0.25">
      <c r="B7" s="28"/>
      <c r="C7" s="29" t="str">
        <f>CONCATENATE(R8,O7*100,S8)</f>
        <v>PV(10%)</v>
      </c>
      <c r="D7" s="25">
        <f>D6*(1+$O$7)^($D$5-D5-1)*$I$3</f>
        <v>0</v>
      </c>
      <c r="E7" s="25">
        <f t="shared" ref="E7:M7" si="1">E6*(1+$O$7)^($D$5-E5-1)*$I$3</f>
        <v>0</v>
      </c>
      <c r="F7" s="25">
        <f t="shared" si="1"/>
        <v>0</v>
      </c>
      <c r="G7" s="25">
        <f t="shared" si="1"/>
        <v>0</v>
      </c>
      <c r="H7" s="25">
        <f t="shared" si="1"/>
        <v>0</v>
      </c>
      <c r="I7" s="25">
        <f t="shared" si="1"/>
        <v>0</v>
      </c>
      <c r="J7" s="25">
        <f t="shared" si="1"/>
        <v>0</v>
      </c>
      <c r="K7" s="25">
        <f t="shared" si="1"/>
        <v>0</v>
      </c>
      <c r="L7" s="25">
        <f t="shared" si="1"/>
        <v>0</v>
      </c>
      <c r="M7" s="25">
        <f t="shared" si="1"/>
        <v>0</v>
      </c>
      <c r="N7" s="25">
        <f t="shared" ref="N7" si="2">N6*(1+$O$7)^($D$5-N5-1)</f>
        <v>294.34616208530218</v>
      </c>
      <c r="O7" s="30">
        <v>0.1</v>
      </c>
      <c r="P7" s="15" t="s">
        <v>12</v>
      </c>
    </row>
    <row r="8" spans="2:19" ht="13.5" thickBot="1" x14ac:dyDescent="0.25">
      <c r="B8" s="28"/>
      <c r="C8" s="32" t="s">
        <v>13</v>
      </c>
      <c r="D8" s="33">
        <f>SUM(D7:N7)</f>
        <v>294.34616208530218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5">
        <v>10</v>
      </c>
      <c r="P8" s="15" t="s">
        <v>14</v>
      </c>
      <c r="R8" s="36" t="s">
        <v>15</v>
      </c>
      <c r="S8" s="36" t="s">
        <v>16</v>
      </c>
    </row>
    <row r="9" spans="2:19" x14ac:dyDescent="0.2">
      <c r="B9" s="28"/>
      <c r="P9" s="15"/>
    </row>
    <row r="10" spans="2:19" ht="26.25" thickBot="1" x14ac:dyDescent="0.25">
      <c r="B10" s="28"/>
      <c r="N10" s="37" t="s">
        <v>6</v>
      </c>
      <c r="O10" s="17" t="s">
        <v>7</v>
      </c>
      <c r="P10" s="15"/>
    </row>
    <row r="11" spans="2:19" ht="15.75" x14ac:dyDescent="0.25">
      <c r="B11" s="28" t="s">
        <v>17</v>
      </c>
      <c r="C11" s="19" t="str">
        <f>C5</f>
        <v>FCF</v>
      </c>
      <c r="D11" s="20">
        <f>D5</f>
        <v>2026</v>
      </c>
      <c r="E11" s="20">
        <f t="shared" ref="E11:M11" si="3">D11+1</f>
        <v>2027</v>
      </c>
      <c r="F11" s="20">
        <f t="shared" si="3"/>
        <v>2028</v>
      </c>
      <c r="G11" s="20">
        <f t="shared" si="3"/>
        <v>2029</v>
      </c>
      <c r="H11" s="20">
        <f t="shared" si="3"/>
        <v>2030</v>
      </c>
      <c r="I11" s="20">
        <f t="shared" si="3"/>
        <v>2031</v>
      </c>
      <c r="J11" s="20">
        <f t="shared" si="3"/>
        <v>2032</v>
      </c>
      <c r="K11" s="20">
        <f t="shared" si="3"/>
        <v>2033</v>
      </c>
      <c r="L11" s="20">
        <f t="shared" si="3"/>
        <v>2034</v>
      </c>
      <c r="M11" s="20">
        <f t="shared" si="3"/>
        <v>2035</v>
      </c>
      <c r="N11" s="20">
        <f>N5</f>
        <v>2035</v>
      </c>
      <c r="O11" s="30">
        <v>0.12</v>
      </c>
      <c r="P11" s="15" t="s">
        <v>10</v>
      </c>
    </row>
    <row r="12" spans="2:19" ht="15.75" x14ac:dyDescent="0.25">
      <c r="B12" s="28" t="s">
        <v>18</v>
      </c>
      <c r="C12" s="38">
        <f>C6</f>
        <v>39</v>
      </c>
      <c r="D12" s="25">
        <f>C12*(1+$O$11)</f>
        <v>43.680000000000007</v>
      </c>
      <c r="E12" s="25">
        <f>D12*(1+$O$11)</f>
        <v>48.921600000000012</v>
      </c>
      <c r="F12" s="25">
        <f>E12*(1+$O$11)</f>
        <v>54.792192000000021</v>
      </c>
      <c r="G12" s="25">
        <f>F12*(1+$O$11)</f>
        <v>61.367255040000032</v>
      </c>
      <c r="H12" s="25">
        <f>G12*(1+$O$11)</f>
        <v>68.731325644800037</v>
      </c>
      <c r="I12" s="25">
        <f>H12*(1+$O$12)</f>
        <v>72.167891927040046</v>
      </c>
      <c r="J12" s="25">
        <f>I12*(1+$O$12)</f>
        <v>75.776286523392045</v>
      </c>
      <c r="K12" s="25">
        <f>J12*(1+$O$12)</f>
        <v>79.565100849561645</v>
      </c>
      <c r="L12" s="25">
        <f>K12*(1+$O$12)</f>
        <v>83.543355892039727</v>
      </c>
      <c r="M12" s="25">
        <f>L12*(1+$O$12)</f>
        <v>87.720523686641712</v>
      </c>
      <c r="N12" s="25">
        <f>L12*O14</f>
        <v>1002.5202707044767</v>
      </c>
      <c r="O12" s="30">
        <v>0.05</v>
      </c>
      <c r="P12" s="27" t="s">
        <v>11</v>
      </c>
    </row>
    <row r="13" spans="2:19" ht="15.75" x14ac:dyDescent="0.25">
      <c r="B13" s="28">
        <f>B7</f>
        <v>0</v>
      </c>
      <c r="C13" s="29" t="str">
        <f>C7</f>
        <v>PV(10%)</v>
      </c>
      <c r="D13" s="25">
        <f>D12*(1+$O$13)^($D$11-D11-1)*$I$3</f>
        <v>0</v>
      </c>
      <c r="E13" s="25">
        <f t="shared" ref="E13:M13" si="4">E12*(1+$O$13)^($D$11-E11-1)*$I$3</f>
        <v>0</v>
      </c>
      <c r="F13" s="25">
        <f t="shared" si="4"/>
        <v>0</v>
      </c>
      <c r="G13" s="25">
        <f t="shared" si="4"/>
        <v>0</v>
      </c>
      <c r="H13" s="25">
        <f t="shared" si="4"/>
        <v>0</v>
      </c>
      <c r="I13" s="25">
        <f t="shared" si="4"/>
        <v>0</v>
      </c>
      <c r="J13" s="25">
        <f t="shared" si="4"/>
        <v>0</v>
      </c>
      <c r="K13" s="25">
        <f t="shared" si="4"/>
        <v>0</v>
      </c>
      <c r="L13" s="25">
        <f t="shared" si="4"/>
        <v>0</v>
      </c>
      <c r="M13" s="25">
        <f t="shared" si="4"/>
        <v>0</v>
      </c>
      <c r="N13" s="25">
        <f>N12*(1+$O$7)^($D$5-N11-1)</f>
        <v>386.51496288718835</v>
      </c>
      <c r="O13" s="30">
        <f>O7</f>
        <v>0.1</v>
      </c>
      <c r="P13" s="15" t="s">
        <v>12</v>
      </c>
    </row>
    <row r="14" spans="2:19" ht="13.5" thickBot="1" x14ac:dyDescent="0.25">
      <c r="B14" s="28"/>
      <c r="C14" s="32" t="s">
        <v>19</v>
      </c>
      <c r="D14" s="33">
        <f>SUM(D13:N13)</f>
        <v>386.51496288718835</v>
      </c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9">
        <v>12</v>
      </c>
      <c r="P14" s="15" t="s">
        <v>14</v>
      </c>
    </row>
    <row r="15" spans="2:19" x14ac:dyDescent="0.2">
      <c r="B15" s="28"/>
      <c r="P15" s="15"/>
    </row>
    <row r="16" spans="2:19" ht="26.25" thickBot="1" x14ac:dyDescent="0.25">
      <c r="B16" s="28"/>
      <c r="N16" s="37" t="s">
        <v>6</v>
      </c>
      <c r="O16" s="17" t="s">
        <v>7</v>
      </c>
      <c r="P16" s="15"/>
    </row>
    <row r="17" spans="2:16" ht="15.75" x14ac:dyDescent="0.25">
      <c r="B17" s="28" t="s">
        <v>20</v>
      </c>
      <c r="C17" s="19" t="str">
        <f>C11</f>
        <v>FCF</v>
      </c>
      <c r="D17" s="20">
        <f>D11</f>
        <v>2026</v>
      </c>
      <c r="E17" s="20">
        <f t="shared" ref="E17:M17" si="5">D17+1</f>
        <v>2027</v>
      </c>
      <c r="F17" s="20">
        <f t="shared" si="5"/>
        <v>2028</v>
      </c>
      <c r="G17" s="20">
        <f t="shared" si="5"/>
        <v>2029</v>
      </c>
      <c r="H17" s="20">
        <f t="shared" si="5"/>
        <v>2030</v>
      </c>
      <c r="I17" s="20">
        <f t="shared" si="5"/>
        <v>2031</v>
      </c>
      <c r="J17" s="20">
        <f t="shared" si="5"/>
        <v>2032</v>
      </c>
      <c r="K17" s="20">
        <f t="shared" si="5"/>
        <v>2033</v>
      </c>
      <c r="L17" s="20">
        <f t="shared" si="5"/>
        <v>2034</v>
      </c>
      <c r="M17" s="20">
        <f t="shared" si="5"/>
        <v>2035</v>
      </c>
      <c r="N17" s="20">
        <f>N11</f>
        <v>2035</v>
      </c>
      <c r="O17" s="30">
        <v>0</v>
      </c>
      <c r="P17" s="15" t="s">
        <v>10</v>
      </c>
    </row>
    <row r="18" spans="2:16" ht="15.75" x14ac:dyDescent="0.25">
      <c r="B18" s="28" t="s">
        <v>21</v>
      </c>
      <c r="C18" s="38">
        <f>C12</f>
        <v>39</v>
      </c>
      <c r="D18" s="25">
        <f>C18*(1+$O$17)</f>
        <v>39</v>
      </c>
      <c r="E18" s="25">
        <f>D18*(1+$O$17)</f>
        <v>39</v>
      </c>
      <c r="F18" s="25">
        <f>E18*(1+$O$17)</f>
        <v>39</v>
      </c>
      <c r="G18" s="25">
        <f>F18*(1+$O$17)</f>
        <v>39</v>
      </c>
      <c r="H18" s="25">
        <f>G18*(1+$O$17)</f>
        <v>39</v>
      </c>
      <c r="I18" s="25">
        <f>H18*(1+$O$18)</f>
        <v>39</v>
      </c>
      <c r="J18" s="25">
        <f>I18*(1+$O$18)</f>
        <v>39</v>
      </c>
      <c r="K18" s="25">
        <f>J18*(1+$O$18)</f>
        <v>39</v>
      </c>
      <c r="L18" s="25">
        <f>K18*(1+$O$18)</f>
        <v>39</v>
      </c>
      <c r="M18" s="25">
        <f>L18*(1+$O$18)</f>
        <v>39</v>
      </c>
      <c r="N18" s="25">
        <f>L18*O20</f>
        <v>390</v>
      </c>
      <c r="O18" s="30">
        <v>0</v>
      </c>
      <c r="P18" s="27" t="s">
        <v>11</v>
      </c>
    </row>
    <row r="19" spans="2:16" ht="15.75" x14ac:dyDescent="0.25">
      <c r="B19" s="28" t="s">
        <v>22</v>
      </c>
      <c r="C19" s="29" t="str">
        <f>C13</f>
        <v>PV(10%)</v>
      </c>
      <c r="D19" s="25">
        <f>D18*(1+$O$19)^($D$17-D17-1)*$I$3</f>
        <v>0</v>
      </c>
      <c r="E19" s="25">
        <f t="shared" ref="E19:M19" si="6">E18*(1+$O$19)^($D$17-E17-1)*$I$3</f>
        <v>0</v>
      </c>
      <c r="F19" s="25">
        <f t="shared" si="6"/>
        <v>0</v>
      </c>
      <c r="G19" s="25">
        <f t="shared" si="6"/>
        <v>0</v>
      </c>
      <c r="H19" s="25">
        <f t="shared" si="6"/>
        <v>0</v>
      </c>
      <c r="I19" s="25">
        <f t="shared" si="6"/>
        <v>0</v>
      </c>
      <c r="J19" s="25">
        <f t="shared" si="6"/>
        <v>0</v>
      </c>
      <c r="K19" s="25">
        <f t="shared" si="6"/>
        <v>0</v>
      </c>
      <c r="L19" s="25">
        <f t="shared" si="6"/>
        <v>0</v>
      </c>
      <c r="M19" s="25">
        <f t="shared" si="6"/>
        <v>0</v>
      </c>
      <c r="N19" s="25">
        <f t="shared" ref="N19" si="7">N18*(1+$O$19)^($D$17-N17-1)</f>
        <v>150.36188287751727</v>
      </c>
      <c r="O19" s="30">
        <f>O13</f>
        <v>0.1</v>
      </c>
      <c r="P19" s="15" t="s">
        <v>12</v>
      </c>
    </row>
    <row r="20" spans="2:16" ht="13.5" thickBot="1" x14ac:dyDescent="0.25">
      <c r="B20" s="28" t="s">
        <v>23</v>
      </c>
      <c r="C20" s="32" t="s">
        <v>19</v>
      </c>
      <c r="D20" s="33">
        <f>SUM(D19:N19)</f>
        <v>150.36188287751727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9">
        <v>10</v>
      </c>
      <c r="P20" s="15" t="s">
        <v>14</v>
      </c>
    </row>
    <row r="21" spans="2:16" ht="13.5" thickBot="1" x14ac:dyDescent="0.25">
      <c r="B21" s="28"/>
      <c r="P21" s="15"/>
    </row>
    <row r="22" spans="2:16" ht="13.5" thickBot="1" x14ac:dyDescent="0.25">
      <c r="B22" s="28"/>
      <c r="C22" s="40" t="s">
        <v>24</v>
      </c>
      <c r="D22" s="41" t="s">
        <v>25</v>
      </c>
      <c r="E22" s="41" t="s">
        <v>26</v>
      </c>
      <c r="F22" s="42" t="s">
        <v>27</v>
      </c>
      <c r="P22" s="15"/>
    </row>
    <row r="23" spans="2:16" x14ac:dyDescent="0.2">
      <c r="B23" s="28"/>
      <c r="C23" s="28" t="s">
        <v>28</v>
      </c>
      <c r="D23" s="58">
        <v>0.6</v>
      </c>
      <c r="E23" s="25">
        <f>D8</f>
        <v>294.34616208530218</v>
      </c>
      <c r="F23" s="45">
        <f>E23*D23</f>
        <v>176.60769725118129</v>
      </c>
      <c r="P23" s="15"/>
    </row>
    <row r="24" spans="2:16" x14ac:dyDescent="0.2">
      <c r="B24" s="28"/>
      <c r="C24" s="28" t="s">
        <v>29</v>
      </c>
      <c r="D24" s="58">
        <v>0.2</v>
      </c>
      <c r="E24" s="25">
        <f>D14</f>
        <v>386.51496288718835</v>
      </c>
      <c r="F24" s="45">
        <f>E24*D24</f>
        <v>77.302992577437678</v>
      </c>
      <c r="P24" s="15"/>
    </row>
    <row r="25" spans="2:16" ht="13.5" thickBot="1" x14ac:dyDescent="0.25">
      <c r="B25" s="28"/>
      <c r="C25" s="46" t="s">
        <v>30</v>
      </c>
      <c r="D25" s="58">
        <v>0.2</v>
      </c>
      <c r="E25" s="47">
        <f>D20</f>
        <v>150.36188287751727</v>
      </c>
      <c r="F25" s="48">
        <f>E25*D25</f>
        <v>30.072376575503455</v>
      </c>
      <c r="P25" s="15"/>
    </row>
    <row r="26" spans="2:16" ht="13.5" thickBot="1" x14ac:dyDescent="0.25">
      <c r="B26" s="28"/>
      <c r="C26" s="49" t="s">
        <v>31</v>
      </c>
      <c r="D26" s="49">
        <f>C3</f>
        <v>232.8</v>
      </c>
      <c r="E26" s="50" t="s">
        <v>32</v>
      </c>
      <c r="F26" s="51">
        <f>SUM(F23:F25)</f>
        <v>283.98306640412238</v>
      </c>
      <c r="P26" s="15"/>
    </row>
    <row r="27" spans="2:16" x14ac:dyDescent="0.2">
      <c r="B27" s="28"/>
      <c r="P27" s="15"/>
    </row>
    <row r="28" spans="2:16" x14ac:dyDescent="0.2">
      <c r="B28" s="28"/>
      <c r="P28" s="15"/>
    </row>
    <row r="29" spans="2:16" x14ac:dyDescent="0.2">
      <c r="B29" s="28"/>
      <c r="P29" s="15"/>
    </row>
    <row r="30" spans="2:16" ht="13.5" thickBot="1" x14ac:dyDescent="0.25">
      <c r="B30" s="46"/>
      <c r="C30" s="52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4"/>
    </row>
  </sheetData>
  <conditionalFormatting sqref="D3">
    <cfRule type="containsText" dxfId="1" priority="1" operator="containsText" text="overvalued">
      <formula>NOT(ISERROR(SEARCH("overvalued",D3)))</formula>
    </cfRule>
    <cfRule type="containsText" dxfId="0" priority="2" operator="containsText" text="undervalued">
      <formula>NOT(ISERROR(SEARCH("undervalued",D3)))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Template (3)</vt:lpstr>
      <vt:lpstr>Template</vt:lpstr>
      <vt:lpstr>dividend</vt:lpstr>
      <vt:lpstr>earnings per share</vt:lpstr>
      <vt:lpstr>net income millions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Carlin</dc:creator>
  <cp:lastModifiedBy>sander buurman</cp:lastModifiedBy>
  <dcterms:created xsi:type="dcterms:W3CDTF">2026-01-19T08:36:25Z</dcterms:created>
  <dcterms:modified xsi:type="dcterms:W3CDTF">2026-03-18T11:22:57Z</dcterms:modified>
</cp:coreProperties>
</file>